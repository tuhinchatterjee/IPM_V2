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ange_Log" sheetId="2" state="visible" r:id="rId4"/>
    <sheet name="Verification" sheetId="3" state="visible" r:id="rId5"/>
    <sheet name="Quality_Checks" sheetId="4" state="visible" r:id="rId6"/>
    <sheet name="StressedPD_Sector" sheetId="5" state="visible" r:id="rId7"/>
    <sheet name="Sector_Master" sheetId="6" state="visible" r:id="rId8"/>
    <sheet name="Emissions_Allocation" sheetId="7" state="visible" r:id="rId9"/>
    <sheet name="Oman_Intensity" sheetId="8" state="visible" r:id="rId10"/>
    <sheet name="NGFS_CarbonPrice" sheetId="9" state="visible" r:id="rId11"/>
    <sheet name="Scenario_Mapping" sheetId="10" state="visible" r:id="rId12"/>
    <sheet name="Dynamic_Adjust" sheetId="11" state="visible" r:id="rId13"/>
    <sheet name="Physical_Hazard" sheetId="12" state="visible" r:id="rId14"/>
    <sheet name="Physical_Exposure" sheetId="13" state="visible" r:id="rId15"/>
    <sheet name="EU_k_Calibration" sheetId="14" state="visible" r:id="rId16"/>
    <sheet name="k_MultiAnchor" sheetId="15" state="visible" r:id="rId17"/>
    <sheet name="Regression_Tests" sheetId="16" state="visible" r:id="rId18"/>
    <sheet name="Regression_Data" sheetId="17" state="visible" r:id="rId19"/>
    <sheet name="Macro_Shift" sheetId="18" state="visible" r:id="rId20"/>
    <sheet name="RatingGrades" sheetId="19" state="visible" r:id="rId21"/>
    <sheet name="Source_Register" sheetId="20" state="visible" r:id="rId22"/>
    <sheet name="Assumption_Register"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<sst xmlns="http://schemas.openxmlformats.org/spreadsheetml/2006/main" count="1571" uniqueCount="1121">
  <si>
    <t xml:space="preserve">Oman Climate Transition Stress Test  |  v4  |  Sector-level stressed PD</t>
  </si>
  <si>
    <t xml:space="preserve">Scope</t>
  </si>
  <si>
    <t xml:space="preserve">Transition risk AND acute physical risk, both expressed through stressed PD. Output is a stressed PD by sector and master rating grade for four NGFS scenarios. No customer or ECL layer. No LGD. Chronic physical risk through the macro channel is NOT included: see the scope note below.</t>
  </si>
  <si>
    <t xml:space="preserve">Core formula</t>
  </si>
  <si>
    <t xml:space="preserve">stressed_PD = NORMSDIST( NORMSINV(PD_0) + push + macro_shift )</t>
  </si>
  <si>
    <t xml:space="preserve">push = k x LN(1 + cost_ratio);  cost_ratio = carbon price x deflator x intensity x intensity_index x (1 - pass_through) / (1,000,000 x GVA_index)</t>
  </si>
  <si>
    <t xml:space="preserve">macro_shift = beta x GDP_level_deviation x macro_beta_sector</t>
  </si>
  <si>
    <t xml:space="preserve">Pure probit shift. Returns PD_0 exactly at zero stress, so no de-stress artefact is possible. Asset correlation rho does not appear.</t>
  </si>
  <si>
    <t xml:space="preserve">Sector taxonomy</t>
  </si>
  <si>
    <t xml:space="preserve">The Verification tab records, for every input number, what it was checked against and what the check found. Quality_Checks then reports the live state of the model. Physical risk enters as a second cost ratio added to the carbon cost ratio inside the same push transform.</t>
  </si>
  <si>
    <t xml:space="preserve">Read this first</t>
  </si>
  <si>
    <t xml:space="preserve">The Verification tab records, for every input number, what it was checked against and what the check found. Four numbers changed as a result and three could not be verified from any public source. Quality_Checks then reports the live state of the model.</t>
  </si>
  <si>
    <t xml:space="preserve">Colour legend</t>
  </si>
  <si>
    <t xml:space="preserve">Blue font</t>
  </si>
  <si>
    <t xml:space="preserve">Bank input or editable assumption.</t>
  </si>
  <si>
    <t xml:space="preserve">Black font</t>
  </si>
  <si>
    <t xml:space="preserve">Live formula or verified constant.</t>
  </si>
  <si>
    <t xml:space="preserve">Green font</t>
  </si>
  <si>
    <t xml:space="preserve">Cross-sheet link.</t>
  </si>
  <si>
    <t xml:space="preserve">Yellow fill</t>
  </si>
  <si>
    <t xml:space="preserve">Unverified, placeholder, or requires a decision. Counted live on Quality_Checks.</t>
  </si>
  <si>
    <t xml:space="preserve">Lilac fill</t>
  </si>
  <si>
    <t xml:space="preserve">Illustrative sample, not used for calibration.</t>
  </si>
  <si>
    <t xml:space="preserve">What changed from v3 to v4</t>
  </si>
  <si>
    <t xml:space="preserve">#</t>
  </si>
  <si>
    <t xml:space="preserve">Area</t>
  </si>
  <si>
    <t xml:space="preserve">v3</t>
  </si>
  <si>
    <t xml:space="preserve">v4</t>
  </si>
  <si>
    <t xml:space="preserve">1</t>
  </si>
  <si>
    <t xml:space="preserve">Output</t>
  </si>
  <si>
    <t xml:space="preserve">Customer-level ECL, aggregation and portfolio summary tabs.</t>
  </si>
  <si>
    <t xml:space="preserve">Removed entirely. The output is a sector by grade by scenario stressed PD grid, plus a PD-multiple summary at grade MR5.</t>
  </si>
  <si>
    <t xml:space="preserve">2</t>
  </si>
  <si>
    <t xml:space="preserve">16 sectors, several built by splitting an SNA parent with a placeholder share, and two (real estate, water and waste) with no GVA at all, which meant they silently received no stress.</t>
  </si>
  <si>
    <t xml:space="preserve">10 sectors. Every ISIC Rev.4 section sits in exactly one sector; every sector has a GVA figure taken from the source. No placeholder splits of GVA, no zero-GVA rows. ISIC L, E, N and R are not itemised in Oman's submission but the table still reconciles to published GDP, so they are absorbed into their parent sector rather than given empty rows.</t>
  </si>
  <si>
    <t xml:space="preserve">3</t>
  </si>
  <si>
    <t xml:space="preserve">ISIC B split</t>
  </si>
  <si>
    <t xml:space="preserve">93% / 7% placeholder between oil and gas and other mining.</t>
  </si>
  <si>
    <t xml:space="preserve">Sourced. Oman's separately reported non-oil Mining GVA is 205.8 OMR m for 2023, so oil and gas extraction is 14,750.3 out of an ISIC B total of 14,956.1.</t>
  </si>
  <si>
    <t xml:space="preserve">4</t>
  </si>
  <si>
    <t xml:space="preserve">k anchor</t>
  </si>
  <si>
    <t xml:space="preserve">Two conflicting values, 2.0% to 2.05% and 2.0% to 4.0%, with the conflict flagged but unresolved.</t>
  </si>
  <si>
    <t xml:space="preserve">Both traced. 2.0% to 4.0% is COAL MINING under disorderly transition (OP 281 Section 5.4), not the median firm. 2.0% to 2.05% is the +2.5% relative disorderly-versus-orderly figure at 2050. The clean transition-only median-firm anchor is +0.5% relative, orderly versus hot house world in the policy implementation phase, and is now the default.</t>
  </si>
  <si>
    <t xml:space="preserve">5</t>
  </si>
  <si>
    <t xml:space="preserve">EU intensity</t>
  </si>
  <si>
    <t xml:space="preserve">1,100 t/EURm revenue, described as a coal-mining figure.</t>
  </si>
  <si>
    <t xml:space="preserve">Identified as the LARGE-FIRM average on a Scope 1+2+3 basis, so neither median nor Scope 1. Replaced by a symmetric construction: EU national Scope 1 emissions divided by EU GVA, built exactly as the Oman intensity is, with a documented median-to-average adjustment.</t>
  </si>
  <si>
    <t xml:space="preserve">6</t>
  </si>
  <si>
    <t xml:space="preserve">Revenue versus GVA</t>
  </si>
  <si>
    <t xml:space="preserve">Flagged as a defect, handled by an unsourced turnover-to-GVA ratio applied to the EU anchor.</t>
  </si>
  <si>
    <t xml:space="preserve">Workaround implemented. Route 1 removes the conversion entirely by constructing both sides from national aggregates. Route 2 (the firm-level conversion) is retained for comparison, and a basis switch on Sector_Master lets the whole model run on turnover if the bank obtains it.</t>
  </si>
  <si>
    <t xml:space="preserve">7</t>
  </si>
  <si>
    <t xml:space="preserve">EU pass-through</t>
  </si>
  <si>
    <t xml:space="preserve">50%.</t>
  </si>
  <si>
    <t xml:space="preserve">0%. OP 281 Section 5.1 applies the carbon tax to operating costs with no cost relief; any demand response runs separately through Scope 3 revenues. There is no pass-through in the ECB cost channel.</t>
  </si>
  <si>
    <t xml:space="preserve">8</t>
  </si>
  <si>
    <t xml:space="preserve">Price base</t>
  </si>
  <si>
    <t xml:space="preserve">NGFS carbon prices in US$2010 applied directly to GVA in 2023 US dollars.</t>
  </si>
  <si>
    <t xml:space="preserve">US GDP deflator applied explicitly on Scenario_Mapping. Omitting it understated every cost ratio by roughly a quarter.</t>
  </si>
  <si>
    <t xml:space="preserve">9</t>
  </si>
  <si>
    <t xml:space="preserve">Carbon price value</t>
  </si>
  <si>
    <t xml:space="preserve">Net Zero 2035 at 290.</t>
  </si>
  <si>
    <t xml:space="preserve">Corrected to 294, per the NGFS Phase V statement that the price rises from $98/tCO2 in 2025 to $294/tCO2 by 2035.</t>
  </si>
  <si>
    <t xml:space="preserve">10</t>
  </si>
  <si>
    <t xml:space="preserve">Carbon price region</t>
  </si>
  <si>
    <t xml:space="preserve">Global, unremarked.</t>
  </si>
  <si>
    <t xml:space="preserve">Global, with the direction of bias documented: the NGFS footnote states prices tend to be LOWER in emerging economies, so applying the global path to Oman overstates the transition cost.</t>
  </si>
  <si>
    <t xml:space="preserve">11</t>
  </si>
  <si>
    <t xml:space="preserve">GVA vintage</t>
  </si>
  <si>
    <t xml:space="preserve">Undated.</t>
  </si>
  <si>
    <t xml:space="preserve">Identified as 2023 current prices, against 2024 EDGAR emissions. The one-year mismatch is disclosed and the 2024 replacement values are recorded in the Verification log.</t>
  </si>
  <si>
    <t xml:space="preserve">12</t>
  </si>
  <si>
    <t xml:space="preserve">Verification</t>
  </si>
  <si>
    <t xml:space="preserve">Source register listed origins but no checks.</t>
  </si>
  <si>
    <t xml:space="preserve">A dedicated Verification tab records, for all 26 input numbers, what each was checked against and what the check found. Four values changed, three could not be verified from any public source and remain flagged.</t>
  </si>
  <si>
    <t xml:space="preserve">13</t>
  </si>
  <si>
    <t xml:space="preserve">k calibration</t>
  </si>
  <si>
    <t xml:space="preserve">Single anchor. k was a scale; the LN(1+x) shape was imposed with no support, and the model extrapolated 129x beyond the calibration point with no way to bound the error.</t>
  </si>
  <si>
    <t xml:space="preserve">Option 3 implemented. All four PD anchors in OP 281 are extracted onto a common basis, the functional form is generalised to one curvature parameter, and k is fitted. Result: a second usable anchor is confirmed and the form is validated, but curvature remains unidentifiable and the reason is now quantified. See k_MultiAnchor.</t>
  </si>
  <si>
    <t xml:space="preserve">14</t>
  </si>
  <si>
    <t xml:space="preserve">Push formula</t>
  </si>
  <si>
    <t xml:space="preserve">push = k x LN(1 + cost ratio).</t>
  </si>
  <si>
    <t xml:space="preserve">push = k x ((1 + cost ratio)^theta - 1)/theta, which returns the v4 formula exactly at theta = 0 and spans linear through saturating as theta moves from +1 to -1.</t>
  </si>
  <si>
    <t xml:space="preserve">15</t>
  </si>
  <si>
    <t xml:space="preserve">Cost ratio cap</t>
  </si>
  <si>
    <t xml:space="preserve">None.</t>
  </si>
  <si>
    <t xml:space="preserve">Wired into the cost ratio on StressedPD_Sector, controlled from k_MultiAnchor C60, off by default, with a live count of the cells it would bind on.</t>
  </si>
  <si>
    <t xml:space="preserve">16</t>
  </si>
  <si>
    <t xml:space="preserve">Manufacturing</t>
  </si>
  <si>
    <t xml:space="preserve">(question raised)</t>
  </si>
  <si>
    <t xml:space="preserve">NOT split, per instruction. Manufacturing remains a single row at ISIC C.</t>
  </si>
  <si>
    <t xml:space="preserve">17</t>
  </si>
  <si>
    <t xml:space="preserve">Physical risk in PD</t>
  </si>
  <si>
    <t xml:space="preserve">Not modelled. Physical risk sat only in an LGD module that was not carried into v4.</t>
  </si>
  <si>
    <t xml:space="preserve">Layer 2 implemented: sector-specific acute physical damage enters as a second cost ratio, added to the carbon cost ratio inside the same push transform and using the same calibrated k. Three hazards: tropical cyclone and flood, extreme heat, water stress. See Physical_Hazard and Physical_Exposure.</t>
  </si>
  <si>
    <t xml:space="preserve">18</t>
  </si>
  <si>
    <t xml:space="preserve">Physical baseline</t>
  </si>
  <si>
    <t xml:space="preserve">Sourced from Oman's own loss record: Gonu, Phet and Shaheen give a baseline annual average loss of 0.275% of value added for cyclone and flood. Heat and water stress remain flagged inputs pending the NGFS acute-damage pull.</t>
  </si>
  <si>
    <t xml:space="preserve">19</t>
  </si>
  <si>
    <t xml:space="preserve">Channel separation</t>
  </si>
  <si>
    <t xml:space="preserve">Rule was 'transition to PD, physical to LGD', which prevented double counting by keeping physical out of PD entirely.</t>
  </si>
  <si>
    <t xml:space="preserve">Replaced with an economic split: 60% of retained damage is business interruption and repair expense and goes to PD; 40% is capital replacement and goes to LGD. The shares sum to one, so physical risk can now sit in both channels without being charged twice.</t>
  </si>
  <si>
    <t xml:space="preserve">20</t>
  </si>
  <si>
    <t xml:space="preserve">Ordering checks</t>
  </si>
  <si>
    <t xml:space="preserve">Transition ordering only.</t>
  </si>
  <si>
    <t xml:space="preserve">Both orderings now checked live. Transition must run NZ &gt;= DT &gt;= FW &gt;= CP and physical must run CP &gt;= FW &gt;= DT &gt;= NZ. Both pass.</t>
  </si>
  <si>
    <t xml:space="preserve">Verification log</t>
  </si>
  <si>
    <t xml:space="preserve">Every input number in the model, what it was checked against, and the result. VERIFIED means traced to the primary source named. CORRECTED means the source disagreed with the value in the workbook and the value has been changed. UNVERIFIABLE means no public source could confirm it and it remains a flagged input.</t>
  </si>
  <si>
    <t xml:space="preserve">Value</t>
  </si>
  <si>
    <t xml:space="preserve">Value now in model</t>
  </si>
  <si>
    <t xml:space="preserve">Source checked against</t>
  </si>
  <si>
    <t xml:space="preserve">Finding</t>
  </si>
  <si>
    <t xml:space="preserve">Status</t>
  </si>
  <si>
    <t xml:space="preserve">NGFS shadow carbon price, Net Zero 2050, 2035</t>
  </si>
  <si>
    <t xml:space="preserve">US$2010 294 /tCO2</t>
  </si>
  <si>
    <t xml:space="preserve">NGFS Phase V main report, Main results, Carbon prices</t>
  </si>
  <si>
    <t xml:space="preserve">The report states a price of about $300/tCO2 is needed by 2035 for net zero by 2050, rising from $98/tCO2 in 2025 to $294/tCO2. The workbook carried 290. Changed to 294.</t>
  </si>
  <si>
    <t xml:space="preserve">CORRECTED</t>
  </si>
  <si>
    <t xml:space="preserve">Units of the NGFS carbon price</t>
  </si>
  <si>
    <t xml:space="preserve">US$2010</t>
  </si>
  <si>
    <t xml:space="preserve">NGFS Phase V, Scenarios at a glance and Main results, chart axes</t>
  </si>
  <si>
    <t xml:space="preserve">Both carbon price charts are labelled US$2010 per tCO2. The workbook applied this directly to GVA measured in 2023 current US dollars. A price deflator is now applied explicitly on Scenario_Mapping. Omitting it understated every cost ratio by roughly a quarter.</t>
  </si>
  <si>
    <t xml:space="preserve">Regional applicability of the carbon price</t>
  </si>
  <si>
    <t xml:space="preserve">Global weighted</t>
  </si>
  <si>
    <t xml:space="preserve">NGFS Phase V, Main results, Carbon prices, footnote</t>
  </si>
  <si>
    <t xml:space="preserve">The published prices are weighted global values. The footnote states that prices tend to be LOWER in emerging economies, because policy stringency is lower and more low-cost abatement remains available. Applying the global path to Oman therefore biases the transition cost UPWARDS. Country-downscaled prices exist in the IIASA portal for 220 countries.</t>
  </si>
  <si>
    <t xml:space="preserve">VERIFIED, conservative bias documented</t>
  </si>
  <si>
    <t xml:space="preserve">End-of-century warming by scenario</t>
  </si>
  <si>
    <t xml:space="preserve">NZ 1.4, DT 1.7, FW 2.4, CP 3.0</t>
  </si>
  <si>
    <t xml:space="preserve">NGFS Phase V, Scenarios at a glance</t>
  </si>
  <si>
    <t xml:space="preserve">All four match the source exactly.</t>
  </si>
  <si>
    <t xml:space="preserve">VERIFIED</t>
  </si>
  <si>
    <t xml:space="preserve">Transition GDP deviation, Net Zero and Delayed Transition</t>
  </si>
  <si>
    <t xml:space="preserve">NZ -1.5 / -1.0 / -0.8; DT -0.3 / -2.0 / -1.7</t>
  </si>
  <si>
    <t xml:space="preserve">NGFS Phase V GDP decomposition chart; ECB Occasional Paper 281 Section 3.2.1</t>
  </si>
  <si>
    <t xml:space="preserve">The published Phase V chart gives the transition component graphically, not as a table, so exact values cannot be read off. The magnitudes and the shape (Net Zero loss peaks early then narrows, Delayed Transition loss appears around 2030 and peaks later) are consistent with the chart. ECB OP 281 independently states that the transition-risk impact is limited to no more than 2% of European GDP under a disorderly transition, which corroborates the -2.0% Delayed Transition figure. Values retained as plausible but not exact.</t>
  </si>
  <si>
    <t xml:space="preserve">PLAUSIBLE, not exact</t>
  </si>
  <si>
    <t xml:space="preserve">Transition GDP deviation, Fragmented World</t>
  </si>
  <si>
    <t xml:space="preserve">0.0 in every year</t>
  </si>
  <si>
    <t xml:space="preserve">NGFS Phase V GDP decomposition chart</t>
  </si>
  <si>
    <t xml:space="preserve">Fragmented World is NOT plotted in the published GDP decomposition chart, which shows only Net Zero 2050, Delayed Transition and Current Policies. No public figure exists. A zero deviation is not credible for a high-cost, badly co-ordinated transition. Requires the IIASA portal pull.</t>
  </si>
  <si>
    <t xml:space="preserve">UNVERIFIABLE - action required</t>
  </si>
  <si>
    <t xml:space="preserve">Transition GDP deviation, Current Policies</t>
  </si>
  <si>
    <t xml:space="preserve">NGFS scenario design</t>
  </si>
  <si>
    <t xml:space="preserve">Correct by construction. Current Policies is the transition baseline and carries no additional transition cost. Its risk is physical, which this model does not cover.</t>
  </si>
  <si>
    <t xml:space="preserve">EU anchor: median firm baseline PD</t>
  </si>
  <si>
    <t xml:space="preserve">2.0%</t>
  </si>
  <si>
    <t xml:space="preserve">ECB Occasional Paper 281, Chart 31 panel b, right-hand axis</t>
  </si>
  <si>
    <t xml:space="preserve">The median-firm series on the right-hand axis runs from about 1.9% in 2020 to about 2.4% by 2050. A 2020 baseline of 2.0% is supported.</t>
  </si>
  <si>
    <t xml:space="preserve">EU anchor: median firm PD response</t>
  </si>
  <si>
    <t xml:space="preserve">+0.5% RELATIVE (transition-only)</t>
  </si>
  <si>
    <t xml:space="preserve">ECB Occasional Paper 281, Section 5.3</t>
  </si>
  <si>
    <t xml:space="preserve">Section 5.3 states the median firm would have a slightly higher PD, about 0.5%, under orderly transition during the policy implementation phase compared with the hot house world. Because hot house world carries no transition policy, this difference is a CLEAN transition-only effect. Chart 28 confirms these are percentage CHANGES relative to baseline, not percentage points. So 2.00% becomes 2.01%.</t>
  </si>
  <si>
    <t xml:space="preserve">VERIFIED and corrected</t>
  </si>
  <si>
    <t xml:space="preserve">Origin of the 2.0% to 2.05% figure in the v2 sheet</t>
  </si>
  <si>
    <t xml:space="preserve">Not used as primary</t>
  </si>
  <si>
    <t xml:space="preserve">This is the +2.5% relative figure for DISORDERLY transition versus orderly at 2050. It is not the transition-only median-firm anchor and it mixes transition timing with residual physical effects. Retained as selectable Anchor B for sensitivity.</t>
  </si>
  <si>
    <t xml:space="preserve">IDENTIFIED</t>
  </si>
  <si>
    <t xml:space="preserve">Origin of the 2.0% to 4.0% figure in the v2 register</t>
  </si>
  <si>
    <t xml:space="preserve">Not used</t>
  </si>
  <si>
    <t xml:space="preserve">ECB Occasional Paper 281, Section 5.4 and Chart 31</t>
  </si>
  <si>
    <t xml:space="preserve">This is COAL MINING (NACE B05), not the median firm: the paper states the transition would drive coal-mining PDs to 5% and 4% under orderly and disorderly transition, a 150% and 100% increase on current values. The register entry was a coal-mining anchor mislabelled as a median-firm anchor. Discarded, because the user is calibrating on a median firm.</t>
  </si>
  <si>
    <t xml:space="preserve">RESOLVED</t>
  </si>
  <si>
    <t xml:space="preserve">Origin of the 20,000 t/$m intensity in the v2 register</t>
  </si>
  <si>
    <t xml:space="preserve">ECB Occasional Paper 281, Section 5.4</t>
  </si>
  <si>
    <t xml:space="preserve">The paper states coal mining produces upward of 20,000 tonnes of CO2 per million dollars of revenue in SCOPE 3 terms. It is a coal-mining Scope 3 figure, not a median-firm Scope 1 figure. Discarded, and it is now clear the two v2 anchors were a self-consistent coal-mining pair, not a contradiction.</t>
  </si>
  <si>
    <t xml:space="preserve">Origin of the 1,100 t/EURm intensity in the v2 sheet</t>
  </si>
  <si>
    <t xml:space="preserve">Not used as stated</t>
  </si>
  <si>
    <t xml:space="preserve">ECB Occasional Paper 281, Chart 12 and surrounding text</t>
  </si>
  <si>
    <t xml:space="preserve">1,100 tCO2e per EURm of revenue is the average for LARGE firms on a Scope 1 PLUS 2 PLUS 3 basis (micro firms are about 600). It is neither a median-firm figure nor a Scope 1 figure. The carbon cost channel in the model is Scope 1 only, so this number was not usable as it stood.</t>
  </si>
  <si>
    <t xml:space="preserve">Scope of the EU carbon cost channel</t>
  </si>
  <si>
    <t xml:space="preserve">Scope 1</t>
  </si>
  <si>
    <t xml:space="preserve">ECB Occasional Paper 281, Section 5.1</t>
  </si>
  <si>
    <t xml:space="preserve">The paper states the carbon price reaches firms as a flat carbon tax on their Scope 1 direct emissions, affecting operating expenses; the revenue effect runs separately through Scope 3. This confirms the Oman side should also use Scope 1, which it does.</t>
  </si>
  <si>
    <t xml:space="preserve">EU anchor pass-through</t>
  </si>
  <si>
    <t xml:space="preserve">0%</t>
  </si>
  <si>
    <t xml:space="preserve">The ECB applies the carbon tax to operating costs with no cost relief; any demand response is modelled separately through Scope 3 revenues. There is therefore no pass-through embedded in the cost channel. v2 used 50%, which is inconsistent with how the anchor was generated. Set to 0% with a note.</t>
  </si>
  <si>
    <t xml:space="preserve">Median EU firm Scope 1 emission intensity</t>
  </si>
  <si>
    <t xml:space="preserve">Assumption, exposed</t>
  </si>
  <si>
    <t xml:space="preserve">ECB Occasional Paper 281, Charts 12 and 13</t>
  </si>
  <si>
    <t xml:space="preserve">OP 281 publishes intensity by firm SIZE on a combined Scope 1+2+3 basis and by SECTOR in chart form only. No median-firm Scope 1 figure is published anywhere in the paper. This is a required assumption; it is exposed on EU_k_Calibration with a full sensitivity grid for k, and a live plausibility check against EU economy-wide emissions per unit of GDP.</t>
  </si>
  <si>
    <t xml:space="preserve">UNVERIFIABLE - assumption</t>
  </si>
  <si>
    <t xml:space="preserve">Carbon price paired with the EU anchor</t>
  </si>
  <si>
    <t xml:space="preserve">ECB Occasional Paper 281, Section 3.1</t>
  </si>
  <si>
    <t xml:space="preserve">The ECB stress test uses NGFS PHASE I scenarios (NGFS 2020b), not Phase V. The carbon price paired with the PD response must therefore be the Phase I orderly-transition price at the anchor horizon, not a Phase V price. v2 paired the ECB PD response with a Phase V NDC price of US$80. Exposed as an input with the mismatch documented.</t>
  </si>
  <si>
    <t xml:space="preserve">Oman sector GVA, reference year</t>
  </si>
  <si>
    <t xml:space="preserve">2023, current prices</t>
  </si>
  <si>
    <t xml:space="preserve">UN SNA Table 2.4 vs NCSI via Trading Economics</t>
  </si>
  <si>
    <t xml:space="preserve">The values in the workbook (agriculture 996.8, construction 2,766.3, manufacturing 3,819.8, utilities 970.1, transport 1,680.8, services 18,454.8) match the NCSI series for 2023 exactly, NOT 2024. The 2024 figures are agriculture 1,070.3, construction 2,760.6, manufacturing 4,149.0, utilities 1,004.3, transport 1,686.0, services 19,127.0. Emissions in the model are 2024 EDGAR, so there is a ONE YEAR timing mismatch.</t>
  </si>
  <si>
    <t xml:space="preserve">CORRECTED to disclosure, replacement values supplied</t>
  </si>
  <si>
    <t xml:space="preserve">Split of ISIC B into oil and gas versus other mining</t>
  </si>
  <si>
    <t xml:space="preserve">98.6% / 1.4%</t>
  </si>
  <si>
    <t xml:space="preserve">NCSI GDP by activity via Trading Economics</t>
  </si>
  <si>
    <t xml:space="preserve">Oman's separately reported non-oil Mining GVA is 205.8 OMR m for 2023 (207.7 for 2024). ISIC B total is 14,956.1, so oil and gas extraction is 14,750.3. This replaces the 93% / 7% placeholder split used in v3 with a sourced figure.</t>
  </si>
  <si>
    <t xml:space="preserve">CORRECTED and now sourced</t>
  </si>
  <si>
    <t xml:space="preserve">Reconciliation of sector GVA to the national total</t>
  </si>
  <si>
    <t xml:space="preserve">41,963.9 OMR m</t>
  </si>
  <si>
    <t xml:space="preserve">UN SNA Table 2.4</t>
  </si>
  <si>
    <t xml:space="preserve">Sector GVA sums exactly to total value added at basic prices. Deducting FISIM of 1,013.9 and adding taxes less subsidies of -233.1 gives 40,716.9, which matches Oman's published 2023 current-price GDP of about RO 40.7bn. The partition is complete and internally consistent.</t>
  </si>
  <si>
    <t xml:space="preserve">21</t>
  </si>
  <si>
    <t xml:space="preserve">ISIC L (real estate), E (water and waste), N and R</t>
  </si>
  <si>
    <t xml:space="preserve">Absorbed, not itemised</t>
  </si>
  <si>
    <t xml:space="preserve">Oman's submission does not itemise these sections, yet the table still reconciles to published GDP, so they are absorbed inside other lines rather than omitted. Creating separate rows for them would have produced zero-GVA sectors, which is what caused the v3 real-estate problem. They are therefore folded into their parent sectors and the model has no zero-GVA rows.</t>
  </si>
  <si>
    <t xml:space="preserve">VERIFIED and resolved</t>
  </si>
  <si>
    <t xml:space="preserve">22</t>
  </si>
  <si>
    <t xml:space="preserve">Oman national total GHG</t>
  </si>
  <si>
    <t xml:space="preserve">132.27 MtCO2e</t>
  </si>
  <si>
    <t xml:space="preserve">EDGAR, as entered in the v2 workbook</t>
  </si>
  <si>
    <t xml:space="preserve">Not independently re-traced. Implies about 25 tCO2e per head against a population of 5.3 million, which is high but consistent with Oman being among the highest per-capita emitters globally. A live per-capita check is on Emissions_Allocation.</t>
  </si>
  <si>
    <t xml:space="preserve">PLAUSIBLE, not re-traced</t>
  </si>
  <si>
    <t xml:space="preserve">23</t>
  </si>
  <si>
    <t xml:space="preserve">EDGAR Buildings emissions for Oman</t>
  </si>
  <si>
    <t xml:space="preserve">22.23 MtCO2e</t>
  </si>
  <si>
    <t xml:space="preserve">Plausibility check only</t>
  </si>
  <si>
    <t xml:space="preserve">This implies about 4.2 tCO2e per head of DIRECT building fuel combustion, excluding electricity, which is already counted under Power Industry. That is high for a hot climate where building energy demand is overwhelmingly electric air conditioning. The figure is retained but flagged, and 70% of it is allocated to households so it does not distort corporate intensities. Re-download the EDGAR sector file before submission.</t>
  </si>
  <si>
    <t xml:space="preserve">FLAGGED - re-download required</t>
  </si>
  <si>
    <t xml:space="preserve">24</t>
  </si>
  <si>
    <t xml:space="preserve">Oman banking-system gross NPL ratio 2014-2024</t>
  </si>
  <si>
    <t xml:space="preserve">As in v2</t>
  </si>
  <si>
    <t xml:space="preserve">No citation existed in v2</t>
  </si>
  <si>
    <t xml:space="preserve">Not traced. Should come from the CBO Annual Report or Financial Stability Report.</t>
  </si>
  <si>
    <t xml:space="preserve">UNVERIFIED</t>
  </si>
  <si>
    <t xml:space="preserve">25</t>
  </si>
  <si>
    <t xml:space="preserve">Oman real GDP growth 2014-2024</t>
  </si>
  <si>
    <t xml:space="preserve">EIU series DGDP</t>
  </si>
  <si>
    <t xml:space="preserve">Economist Intelligence Unit extract in the v2 workbook</t>
  </si>
  <si>
    <t xml:space="preserve">Source is recorded in the file and the extract date is present.</t>
  </si>
  <si>
    <t xml:space="preserve">26</t>
  </si>
  <si>
    <t xml:space="preserve">OMR / USD peg</t>
  </si>
  <si>
    <t xml:space="preserve">2.6008</t>
  </si>
  <si>
    <t xml:space="preserve">Central Bank of Oman</t>
  </si>
  <si>
    <t xml:space="preserve">Fixed since 1986.</t>
  </si>
  <si>
    <t xml:space="preserve">27</t>
  </si>
  <si>
    <t xml:space="preserve">EU anchor 2: high-emitting firms</t>
  </si>
  <si>
    <t xml:space="preserve">+2.0% relative, transition-only</t>
  </si>
  <si>
    <t xml:space="preserve">ECB OP 281 Section 5.4</t>
  </si>
  <si>
    <t xml:space="preserve">The paper states that transition costs raise high-emitting firms' PDs by 2% relative to a no-policy-action scenario in the short term, against 0.5% for median firms, in the same sentence. Same identification, same Scope 1 mechanism. This is a second usable anchor and is now fitted.</t>
  </si>
  <si>
    <t xml:space="preserve">28</t>
  </si>
  <si>
    <t xml:space="preserve">EU anchors 3 and 4: coal mining</t>
  </si>
  <si>
    <t xml:space="preserve">+150% orderly, +100% disorderly</t>
  </si>
  <si>
    <t xml:space="preserve">Coal-mining PDs rise to 5.0% and 4.0% from a 2.0% base. Measured against 2020 values rather than against hot house world, and driven mainly by Scope 3 abatement investment raising leverage, which the paper states directly. Retained as an out-of-sample check, not used to fit.</t>
  </si>
  <si>
    <t xml:space="preserve">VERIFIED, not fitted</t>
  </si>
  <si>
    <t xml:space="preserve">29</t>
  </si>
  <si>
    <t xml:space="preserve">Curvature of the push function</t>
  </si>
  <si>
    <t xml:space="preserve">Not identifiable</t>
  </si>
  <si>
    <t xml:space="preserve">ECB OP 281, anchors 1 and 2</t>
  </si>
  <si>
    <t xml:space="preserve">Anchors 1 and 2 both sit at cost ratios below 4% of value added, where every smooth functional form is indistinguishable from a straight line. The implied top-decile intensity multiple moves only from 3.97 to 4.07 across the whole range from linear to saturating. The curvature that governs behaviour at Omani cost ratios cannot be estimated from this paper.</t>
  </si>
  <si>
    <t xml:space="preserve">UNVERIFIABLE - quantified</t>
  </si>
  <si>
    <t xml:space="preserve">30</t>
  </si>
  <si>
    <t xml:space="preserve">Implied top-decile intensity multiple</t>
  </si>
  <si>
    <t xml:space="preserve">4.0x the median</t>
  </si>
  <si>
    <t xml:space="preserve">Derived from anchors 1 and 2</t>
  </si>
  <si>
    <t xml:space="preserve">A useful validation rather than an identification: a top-decile-to-median firm emission intensity ratio of about 4 is entirely plausible, so the anchors are consistent with the functional form in use even though they cannot discriminate it from the alternatives.</t>
  </si>
  <si>
    <t xml:space="preserve">DERIVED</t>
  </si>
  <si>
    <t xml:space="preserve">31</t>
  </si>
  <si>
    <t xml:space="preserve">Oman real GDP growth series</t>
  </si>
  <si>
    <t xml:space="preserve">EIU</t>
  </si>
  <si>
    <t xml:space="preserve">Confirmed by the user as sourced from the Economist Intelligence Unit</t>
  </si>
  <si>
    <t xml:space="preserve">Source confirmed. Note that EIU supplies the HISTORICAL series used to estimate the macro leg. It cannot supply the NGFS scenario GDP deviations, which are model output from NiGEM under each scenario and are a different object. Verification item 6 therefore remains open.</t>
  </si>
  <si>
    <t xml:space="preserve">32</t>
  </si>
  <si>
    <t xml:space="preserve">Oman cyclone damage record</t>
  </si>
  <si>
    <t xml:space="preserve">Gonu US$4,200m (2007), Phet US$700m (2010), Shaheen US$500m (2021)</t>
  </si>
  <si>
    <t xml:space="preserve">Fritz et al. (2010) via IWA Water Practice &amp; Technology 17(12); Haggag &amp; Badry (2012); Government of Oman estimate cited in Al-Manji (2022)</t>
  </si>
  <si>
    <t xml:space="preserve">Three independent sources put Gonu at US$4.0 to 4.2bn and describe it as still the worst natural disaster in Oman's history. Phet is reported above US$700m. Shaheen's official government figure is about US$500m, notably lower than the initial insurer fears that it would exceed Gonu. Together they give a directly sourced baseline annual average loss.</t>
  </si>
  <si>
    <t xml:space="preserve">33</t>
  </si>
  <si>
    <t xml:space="preserve">Cyclone frequency in Oman</t>
  </si>
  <si>
    <t xml:space="preserve">Roughly every 3 to 4 years</t>
  </si>
  <si>
    <t xml:space="preserve">IWA Water Practice &amp; Technology 17(12)</t>
  </si>
  <si>
    <t xml:space="preserve">The source states intense storms strike Oman every three or four years between June and October. An 18-year observation window containing three major events is consistent with that.</t>
  </si>
  <si>
    <t xml:space="preserve">34</t>
  </si>
  <si>
    <t xml:space="preserve">Baseline AAL, tropical cyclone and flood</t>
  </si>
  <si>
    <t xml:space="preserve">0.275% of national GVA per year</t>
  </si>
  <si>
    <t xml:space="preserve">Computed from the event record</t>
  </si>
  <si>
    <t xml:space="preserve">A FLOOR, not a full estimate. It counts only the three largest recorded events, omits smaller wadi flash floods and the April 2024 rainfall episode, omits all indirect losses, and does not deflate nominal damages from different years. Every omission pushes the true figure up.</t>
  </si>
  <si>
    <t xml:space="preserve">SOURCED, conservative</t>
  </si>
  <si>
    <t xml:space="preserve">35</t>
  </si>
  <si>
    <t xml:space="preserve">Baseline AAL, extreme heat and water stress</t>
  </si>
  <si>
    <t xml:space="preserve">0.30% and 0.10% of GVA</t>
  </si>
  <si>
    <t xml:space="preserve">Analyst input</t>
  </si>
  <si>
    <t xml:space="preserve">No public Oman-specific figure exists. Replace with NGFS Phase V acute damages by hazard for the Middle East region: variable NiGEM|Gross Domestic Product (GDP), damage decomposition = Acute, hazards heatwaves and drought.</t>
  </si>
  <si>
    <t xml:space="preserve">INPUT - not sourced</t>
  </si>
  <si>
    <t xml:space="preserve">36</t>
  </si>
  <si>
    <t xml:space="preserve">Warming at the horizon by scenario</t>
  </si>
  <si>
    <t xml:space="preserve">Interpolated</t>
  </si>
  <si>
    <t xml:space="preserve">NGFS Phase V, Scenarios at a glance (2100 values only)</t>
  </si>
  <si>
    <t xml:space="preserve">Only end-of-century warming is published in the scenario summary. Warming at 2040 or 2050 requires the MAGICC path. The straight-line interpolation used here is transparent but crude, and it is the weakest input in the physical module.</t>
  </si>
  <si>
    <t xml:space="preserve">PLACEHOLDER</t>
  </si>
  <si>
    <t xml:space="preserve">37</t>
  </si>
  <si>
    <t xml:space="preserve">Warming elasticities by hazard</t>
  </si>
  <si>
    <t xml:space="preserve">2.0 / 3.0 / 1.5</t>
  </si>
  <si>
    <t xml:space="preserve">Analyst judgement</t>
  </si>
  <si>
    <t xml:space="preserve">Cyclone damage scales with storm intensity, which enters damage functions at a high power; IPCC AR6 finds the proportion of the most intense tropical cyclones rises with warming. Heat-related labour loss is strongly convex once wet-bulb thresholds are approached, which the Gulf already is. Water stress is less elastic because Oman is already at the extreme of the scale.</t>
  </si>
  <si>
    <t xml:space="preserve">JUDGEMENT</t>
  </si>
  <si>
    <t xml:space="preserve">38</t>
  </si>
  <si>
    <t xml:space="preserve">Sector exposure weights</t>
  </si>
  <si>
    <t xml:space="preserve">30 weights across 3 hazards</t>
  </si>
  <si>
    <t xml:space="preserve">Analyst judgement, grounded in the Gonu and Shaheen damage pattern</t>
  </si>
  <si>
    <t xml:space="preserve">Normalised so that the value-added-weighted mean is exactly 1.00, which preserves the national loss total whatever weights are entered. Replace with geolocated collateral and site data if the bank holds it.</t>
  </si>
  <si>
    <t xml:space="preserve">39</t>
  </si>
  <si>
    <t xml:space="preserve">Insurance recovery and P&amp;L share</t>
  </si>
  <si>
    <t xml:space="preserve">25% recovery, 60% of retained loss to P&amp;L</t>
  </si>
  <si>
    <t xml:space="preserve">Oman's non-life insurance penetration is low and catastrophe cover is not universal. The 60/40 split between P&amp;L impact and capital replacement is what keeps the PD and LGD channels from double counting the same damage.</t>
  </si>
  <si>
    <t xml:space="preserve">Quality checks (live)</t>
  </si>
  <si>
    <t xml:space="preserve">Every check is a live formula. Items marked ACTION are decisions or data pulls that only the bank or a source download can resolve; they are deliberately left visible rather than defaulted away.</t>
  </si>
  <si>
    <t xml:space="preserve">Check</t>
  </si>
  <si>
    <t xml:space="preserve">Result</t>
  </si>
  <si>
    <t xml:space="preserve">What it means</t>
  </si>
  <si>
    <t xml:space="preserve">Sector GVA reconciles to SNA total value added</t>
  </si>
  <si>
    <t xml:space="preserve">Sector GVA must equal 41,963.9 OMR m exactly. Every ISIC section is in exactly one sector.</t>
  </si>
  <si>
    <t xml:space="preserve">Every EDGAR row's allocation shares sum to 1.00</t>
  </si>
  <si>
    <t xml:space="preserve">Fix the shaded share cells on Emissions_Allocation.</t>
  </si>
  <si>
    <t xml:space="preserve">EDGAR categories reconcile to the national total</t>
  </si>
  <si>
    <t xml:space="preserve">The E7 residual is a plug, so this holds unless the national total is edited.</t>
  </si>
  <si>
    <t xml:space="preserve">Allocated sector emissions reconcile to the national total</t>
  </si>
  <si>
    <t xml:space="preserve">Allocation has neither lost nor created emissions.</t>
  </si>
  <si>
    <t xml:space="preserve">Sectors with zero computed intensity</t>
  </si>
  <si>
    <t xml:space="preserve">Must be zero. This was the v3 defect: rows were created for ISIC sections Oman does not itemise, so those sectors had no denominator and received no stress. The v4 taxonomy makes it structurally impossible.</t>
  </si>
  <si>
    <t xml:space="preserve">No de-stress: stressed PD is never below baseline</t>
  </si>
  <si>
    <t xml:space="preserve">Under the probit-shift form this can only fail if a push or macro shift is negative.</t>
  </si>
  <si>
    <t xml:space="preserve">Probit identity: NORMSDIST(NORMSINV(2%)) = 2%</t>
  </si>
  <si>
    <t xml:space="preserve">Confirms the transform round-trips and the baseline is preserved at zero stress.</t>
  </si>
  <si>
    <t xml:space="preserve">Sectors where physical cost exceeds transition cost under Current Policies</t>
  </si>
  <si>
    <t xml:space="preserve">Diagnostic, not a pass or fail. Current Policies has almost no transition cost by construction, so physical damage should dominate there. If this reads zero at a long horizon, the physical module is switched off or mis-scaled. Ordering itself is tested separately by checks 22 and 23.</t>
  </si>
  <si>
    <t xml:space="preserve">Denominator basis in use</t>
  </si>
  <si>
    <t xml:space="preserve">GVA by default, because Oman publishes value added by activity but not turnover. The EU anchor is converted onto the same basis on EU_k_Calibration rather than left as an implicit unit mismatch.</t>
  </si>
  <si>
    <t xml:space="preserve">EU intensity route in use</t>
  </si>
  <si>
    <t xml:space="preserve">Route 1 (symmetric) builds the EU intensity the same way the Oman intensity is built, national Scope 1 emissions over national GVA, so the turnover conversion never enters.</t>
  </si>
  <si>
    <t xml:space="preserve">US GDP deflator applied to the carbon price</t>
  </si>
  <si>
    <t xml:space="preserve">NGFS prices are US$2010; the denominator is 2023 US dollars. v2 mixed the two, understating every cost ratio by roughly a quarter.</t>
  </si>
  <si>
    <t xml:space="preserve">Corporate share of national emissions</t>
  </si>
  <si>
    <t xml:space="preserve">The remainder is households and own-account use. If this drifts above 90% the household exclusion has been switched off and private vehicle and residential emissions are being charged to borrowers.</t>
  </si>
  <si>
    <t xml:space="preserve">Live regression reproduces the reported slope</t>
  </si>
  <si>
    <t xml:space="preserve">The estimation on Regression_Data must reproduce the selected specification on Regression_Tests.</t>
  </si>
  <si>
    <t xml:space="preserve">EDGAR Buildings emissions per head (tCO2e)</t>
  </si>
  <si>
    <t xml:space="preserve">EXPECTED TO FLAG. This is direct building fuel combustion only, since air conditioning electricity is already under Power Industry. Above about 3 tCO2e per head the figure is not credible for a hot climate. Seventy per cent is allocated to households so it does not distort corporate intensities, but re-download the EDGAR sector file.</t>
  </si>
  <si>
    <t xml:space="preserve">Fragmented World carries a non-zero GDP deviation</t>
  </si>
  <si>
    <t xml:space="preserve">EXPECTED TO SHOW ACTION. Fragmented World is not plotted in the published NGFS chart and no public figure exists, but a zero deviation for a high-cost, badly co-ordinated transition is not credible. Requires the IIASA portal pull.</t>
  </si>
  <si>
    <t xml:space="preserve">k anchor decision recorded</t>
  </si>
  <si>
    <t xml:space="preserve">Both are now traced to ECB OP 281 Section 5.3. Anchor A is the default because it is the only clean transition-only identification.</t>
  </si>
  <si>
    <t xml:space="preserve">Extrapolation multiple of k beyond its calibration point</t>
  </si>
  <si>
    <t xml:space="preserve">k is calibrated at one cost ratio and applied far above it. Above 10x, disclose or cap.</t>
  </si>
  <si>
    <t xml:space="preserve">Curvature parameter theta in use</t>
  </si>
  <si>
    <t xml:space="preserve">theta = 0 is the logarithmic form. The ECB anchors cannot identify this parameter (see k_MultiAnchor section C); it is exposed so the range can be reported rather than assumed away.</t>
  </si>
  <si>
    <t xml:space="preserve">Coal anchor out-of-sample check</t>
  </si>
  <si>
    <t xml:space="preserve">EXPECTED TO REJECT. The coal-mining PD response demands an intensity 20 to 50 times higher than coal plausibly has on a Scope 1 basis, confirming OP 281's own statement that the response is driven by Scope 3 abatement investment raising leverage. It therefore cannot calibrate a Scope 1 cost curve.</t>
  </si>
  <si>
    <t xml:space="preserve">Cost ratio cap and cells bound</t>
  </si>
  <si>
    <t xml:space="preserve">Wired but off. Given that curvature cannot be estimated above the calibration range, a cap is the only mechanism that bounds the utilities and manufacturing result. Set k_MultiAnchor C60 to switch it on.</t>
  </si>
  <si>
    <t xml:space="preserve">Physical exposure weights normalise to 1.00</t>
  </si>
  <si>
    <t xml:space="preserve">Exposure weights redistribute the national annual average loss across sectors; they must not change its total. The value-added-weighted mean of the normalised weights must be exactly 1.000 for all three hazards.</t>
  </si>
  <si>
    <t xml:space="preserve">Transition ordering: NZ &gt;= DT &gt;= FW &gt;= CP</t>
  </si>
  <si>
    <t xml:space="preserve">Transition severity must follow the carbon price ordering.</t>
  </si>
  <si>
    <t xml:space="preserve">Physical ordering: CP &gt;= FW &gt;= DT &gt;= NZ</t>
  </si>
  <si>
    <t xml:space="preserve">Physical severity must follow the warming ordering, i.e. the exact reverse of transition. If both pass, the model has internally coherent opposing channels, which is the single most important structural test of a climate scenario model.</t>
  </si>
  <si>
    <t xml:space="preserve">Warming path at horizon is interpolated, not sourced</t>
  </si>
  <si>
    <t xml:space="preserve">EXPECTED TO FLAG. The warming figure at the horizon is a straight-line interpolation between today and 2100. Replace with the MAGICC temperature path published with NGFS Phase V. This is the weakest input in the physical module.</t>
  </si>
  <si>
    <t xml:space="preserve">Count of FAIL / ACTION / FLAG / REJECTED</t>
  </si>
  <si>
    <t xml:space="preserve">Four items are expected to flag on delivery: 14 (EDGAR Buildings), 15 (Fragmented World transition deviation), 19 (the coal anchor, an intended diagnostic) and 24 (the warming interpolation).</t>
  </si>
  <si>
    <t xml:space="preserve">Stressed PD by sector and rating grade   [MAIN OUTPUT]</t>
  </si>
  <si>
    <t xml:space="preserve">stressed_PD = NORMSDIST( NORMSINV(PD_0) + push + macro_shift ),  where push = k x g(transition cost ratio + physical cost ratio).  The two cost ratios are added INSIDE the transform, not as two separate pushes, because the transform is concave: adding two separate pushes would understate the joint effect of facing both shocks at once.</t>
  </si>
  <si>
    <t xml:space="preserve">Horizon year</t>
  </si>
  <si>
    <t xml:space="preserve">k (fitted on ECB anchor 1)</t>
  </si>
  <si>
    <t xml:space="preserve">US GDP deflator, 2010 to denominator base</t>
  </si>
  <si>
    <t xml:space="preserve">Curvature parameter theta</t>
  </si>
  <si>
    <t xml:space="preserve">Net Zero 2050</t>
  </si>
  <si>
    <t xml:space="preserve">Delayed Transition</t>
  </si>
  <si>
    <t xml:space="preserve">Current Policies</t>
  </si>
  <si>
    <t xml:space="preserve">Fragmented World</t>
  </si>
  <si>
    <t xml:space="preserve">Carbon price at horizon (US$2010/tCO2)</t>
  </si>
  <si>
    <t xml:space="preserve">Carbon price deflated</t>
  </si>
  <si>
    <t xml:space="preserve">Emissions intensity index</t>
  </si>
  <si>
    <t xml:space="preserve">Denominator index</t>
  </si>
  <si>
    <t xml:space="preserve">macro_shift before macro_beta</t>
  </si>
  <si>
    <t xml:space="preserve">ID</t>
  </si>
  <si>
    <t xml:space="preserve">Sector</t>
  </si>
  <si>
    <t xml:space="preserve">Intensity (t/US$m)</t>
  </si>
  <si>
    <t xml:space="preserve">Pass-through</t>
  </si>
  <si>
    <t xml:space="preserve">macro_beta</t>
  </si>
  <si>
    <t xml:space="preserve">transition NZ</t>
  </si>
  <si>
    <t xml:space="preserve">transition DT</t>
  </si>
  <si>
    <t xml:space="preserve">transition CP</t>
  </si>
  <si>
    <t xml:space="preserve">transition FW</t>
  </si>
  <si>
    <t xml:space="preserve">physical NZ</t>
  </si>
  <si>
    <t xml:space="preserve">physical DT</t>
  </si>
  <si>
    <t xml:space="preserve">physical CP</t>
  </si>
  <si>
    <t xml:space="preserve">physical FW</t>
  </si>
  <si>
    <t xml:space="preserve">TOTAL cost NZ</t>
  </si>
  <si>
    <t xml:space="preserve">TOTAL cost DT</t>
  </si>
  <si>
    <t xml:space="preserve">TOTAL cost CP</t>
  </si>
  <si>
    <t xml:space="preserve">TOTAL cost FW</t>
  </si>
  <si>
    <t xml:space="preserve">push NZ</t>
  </si>
  <si>
    <t xml:space="preserve">push DT</t>
  </si>
  <si>
    <t xml:space="preserve">push CP</t>
  </si>
  <si>
    <t xml:space="preserve">push FW</t>
  </si>
  <si>
    <t xml:space="preserve">macro NZ</t>
  </si>
  <si>
    <t xml:space="preserve">macro DT</t>
  </si>
  <si>
    <t xml:space="preserve">macro CP</t>
  </si>
  <si>
    <t xml:space="preserve">macro FW</t>
  </si>
  <si>
    <t xml:space="preserve">S01</t>
  </si>
  <si>
    <t xml:space="preserve">Agriculture, Forestry &amp; Fishing</t>
  </si>
  <si>
    <t xml:space="preserve">S02</t>
  </si>
  <si>
    <t xml:space="preserve">Oil &amp; Gas Extraction</t>
  </si>
  <si>
    <t xml:space="preserve">S03</t>
  </si>
  <si>
    <t xml:space="preserve">Mining &amp; Quarrying (non-oil)</t>
  </si>
  <si>
    <t xml:space="preserve">S04</t>
  </si>
  <si>
    <t xml:space="preserve">S05</t>
  </si>
  <si>
    <t xml:space="preserve">Electricity, Gas, Water &amp; Waste</t>
  </si>
  <si>
    <t xml:space="preserve">S06</t>
  </si>
  <si>
    <t xml:space="preserve">Construction</t>
  </si>
  <si>
    <t xml:space="preserve">S07</t>
  </si>
  <si>
    <t xml:space="preserve">Wholesale &amp; Retail Trade</t>
  </si>
  <si>
    <t xml:space="preserve">S08</t>
  </si>
  <si>
    <t xml:space="preserve">Transport &amp; Storage</t>
  </si>
  <si>
    <t xml:space="preserve">S09</t>
  </si>
  <si>
    <t xml:space="preserve">Accommodation &amp; Food Services</t>
  </si>
  <si>
    <t xml:space="preserve">S10</t>
  </si>
  <si>
    <t xml:space="preserve">Financial, Professional, Public &amp; Other Services</t>
  </si>
  <si>
    <t xml:space="preserve">Sector ID</t>
  </si>
  <si>
    <t xml:space="preserve">Grade</t>
  </si>
  <si>
    <t xml:space="preserve">Key</t>
  </si>
  <si>
    <t xml:space="preserve">Baseline PD</t>
  </si>
  <si>
    <t xml:space="preserve">Stressed PD NZ</t>
  </si>
  <si>
    <t xml:space="preserve">Stressed PD DT</t>
  </si>
  <si>
    <t xml:space="preserve">Stressed PD CP</t>
  </si>
  <si>
    <t xml:space="preserve">Stressed PD FW</t>
  </si>
  <si>
    <t xml:space="preserve">PD multiple NZ</t>
  </si>
  <si>
    <t xml:space="preserve">PD multiple DT</t>
  </si>
  <si>
    <t xml:space="preserve">PD multiple CP</t>
  </si>
  <si>
    <t xml:space="preserve">PD multiple FW</t>
  </si>
  <si>
    <t xml:space="preserve">MR1</t>
  </si>
  <si>
    <t xml:space="preserve">MR2</t>
  </si>
  <si>
    <t xml:space="preserve">MR3</t>
  </si>
  <si>
    <t xml:space="preserve">MR4</t>
  </si>
  <si>
    <t xml:space="preserve">MR5</t>
  </si>
  <si>
    <t xml:space="preserve">MR6</t>
  </si>
  <si>
    <t xml:space="preserve">MR7</t>
  </si>
  <si>
    <t xml:space="preserve">No de-stress check (count of stressed PD below baseline)</t>
  </si>
  <si>
    <t xml:space="preserve">Identity check: NORMSDIST(NORMSINV(2%)) must equal 2%</t>
  </si>
  <si>
    <t xml:space="preserve">Transition ordering violations (NZ&gt;=DT&gt;=FW&gt;=CP)</t>
  </si>
  <si>
    <t xml:space="preserve">Physical ordering violations (CP&gt;=FW&gt;=DT&gt;=NZ)</t>
  </si>
  <si>
    <t xml:space="preserve">Summary at grade MR5 (2.00% baseline): PD multiple, and the transition / physical split of the push</t>
  </si>
  <si>
    <t xml:space="preserve">PD mult NZ</t>
  </si>
  <si>
    <t xml:space="preserve">PD mult DT</t>
  </si>
  <si>
    <t xml:space="preserve">PD mult CP</t>
  </si>
  <si>
    <t xml:space="preserve">PD mult FW</t>
  </si>
  <si>
    <t xml:space="preserve">push from transition (NZ)</t>
  </si>
  <si>
    <t xml:space="preserve">push from physical (NZ)</t>
  </si>
  <si>
    <t xml:space="preserve">physical share of push (NZ)</t>
  </si>
  <si>
    <t xml:space="preserve">Sector master: 10-sector taxonomy, complete ISIC coverage</t>
  </si>
  <si>
    <t xml:space="preserve">Every ISIC Rev.4 section sits in exactly one sector. Every sector's GVA comes from the source, not from a judgemental split of a parent. There are no zero-GVA rows, which is what caused the real-estate problem in v3: ISIC L, E, N and R are not itemised in Oman's SNA submission but are absorbed inside the lines that are, so they are folded into their parent sector rather than given empty rows of their own.</t>
  </si>
  <si>
    <t xml:space="preserve">Denominator basis  (GVA or TURNOVER)</t>
  </si>
  <si>
    <t xml:space="preserve">GVA</t>
  </si>
  <si>
    <t xml:space="preserve">See ReadMe and the note below the table for why GVA is the default.</t>
  </si>
  <si>
    <t xml:space="preserve">OMR / US$ peg</t>
  </si>
  <si>
    <t xml:space="preserve">ISIC Rev.4 sections</t>
  </si>
  <si>
    <t xml:space="preserve">GVA 2023 (OMR m)</t>
  </si>
  <si>
    <t xml:space="preserve">GVA 2023 (US$ m)</t>
  </si>
  <si>
    <t xml:space="preserve">Turnover / GVA</t>
  </si>
  <si>
    <t xml:space="preserve">Denominator (US$ m)</t>
  </si>
  <si>
    <t xml:space="preserve">Pass-through rationale (trade-exposure basis)</t>
  </si>
  <si>
    <t xml:space="preserve">A</t>
  </si>
  <si>
    <t xml:space="preserve">Commodity price-takers, partly supported by domestic subsidy. Low pass-through.</t>
  </si>
  <si>
    <t xml:space="preserve">B (petroleum part)</t>
  </si>
  <si>
    <t xml:space="preserve">World-priced crude and LNG. A domestic carbon cost cannot be passed to an international buyer. Near-zero pass-through.</t>
  </si>
  <si>
    <t xml:space="preserve">B (remainder)</t>
  </si>
  <si>
    <t xml:space="preserve">Limestone, gypsum, chromite, copper. Part exported at world prices, part sold into the domestic construction chain.</t>
  </si>
  <si>
    <t xml:space="preserve">C</t>
  </si>
  <si>
    <t xml:space="preserve">Dominated in Oman by refining, petrochemicals and metals, all internationally traded against unabated Gulf and Asian competitors. Weighted below the 45% base rate for that reason.</t>
  </si>
  <si>
    <t xml:space="preserve">D, E</t>
  </si>
  <si>
    <t xml:space="preserve">Regulated tariffs with cost recovery through the regulator and state subsidy. Cost migrates to the sovereign rather than the utility. Corollary: residual credit risk becomes sovereign-linked, which this model does not capture.</t>
  </si>
  <si>
    <t xml:space="preserve">F</t>
  </si>
  <si>
    <t xml:space="preserve">Domestic, contract-based. Cost-escalation clauses on long contracts, fixed price on many others.</t>
  </si>
  <si>
    <t xml:space="preserve">G</t>
  </si>
  <si>
    <t xml:space="preserve">Passes input cost to the final consumer over the medium term. Thin margins but high pass-through.</t>
  </si>
  <si>
    <t xml:space="preserve">H</t>
  </si>
  <si>
    <t xml:space="preserve">Fuel surcharges are standard contractual practice in freight and warehousing; partly offset by international competition in shipping and aviation.</t>
  </si>
  <si>
    <t xml:space="preserve">I</t>
  </si>
  <si>
    <t xml:space="preserve">Price-elastic international demand competing with regional destinations. Below-average pass-through.</t>
  </si>
  <si>
    <t xml:space="preserve">J, K, L, M, N, O, P, Q, R, S, T</t>
  </si>
  <si>
    <t xml:space="preserve">Domestic and largely non-traded. Includes real estate (ISIC L), which Oman's SNA submission does not itemise separately.</t>
  </si>
  <si>
    <t xml:space="preserve">Total</t>
  </si>
  <si>
    <t xml:space="preserve">UN SNA Table 2.4, total value added at basic prices, 2023</t>
  </si>
  <si>
    <t xml:space="preserve">Reconciliation</t>
  </si>
  <si>
    <t xml:space="preserve">WHY GVA AND NOT TURNOVER. Turnover is the better denominator on comparability grounds, because the EU literature (ECB OP 281, EU ETS carbon-leakage work) reports emission intensity per unit of revenue. It is not used here for one reason: Oman does not publish output or turnover by ISIC activity. NCSI publishes value added by activity; output at basic prices would require the supply-use table, which is not public. GVA is therefore the only denominator that exists for every sector in this list. Two consequences follow. First, the EU anchor must be converted onto a GVA basis, which is done explicitly on EU_k_Calibration rather than left as an implicit unit mismatch. Second, if the bank can obtain turnover by sector, switch cell C4 to TURNOVER, populate column G, and the model runs on a revenue basis end to end.</t>
  </si>
  <si>
    <t xml:space="preserve">There is also an argument that GVA is the more meaningful denominator for default risk, since GVA is approximately EBITDA plus labour compensation, i.e. the funds actually available to absorb a cost shock, whereas revenue is not. The decisive point, though, is data availability, and the two bases must never be mixed as they were in v2.</t>
  </si>
  <si>
    <t xml:space="preserve">TIMING: GVA is 2023 current prices. Emissions are 2024 EDGAR. See Verification item 18 for the 2024 replacement values.</t>
  </si>
  <si>
    <t xml:space="preserve">Emissions allocation: EDGAR IPCC categories onto the lending taxonomy</t>
  </si>
  <si>
    <t xml:space="preserve">EDGAR reports emissions by IPCC SOURCE category; a bank lends to ISIC ACTIVITIES. Each EDGAR row is split across lending sectors plus a Households and own-account column that is excluded from every corporate intensity.</t>
  </si>
  <si>
    <t xml:space="preserve">Code</t>
  </si>
  <si>
    <t xml:space="preserve">EDGAR category</t>
  </si>
  <si>
    <t xml:space="preserve">MtCO2e</t>
  </si>
  <si>
    <t xml:space="preserve">Definition</t>
  </si>
  <si>
    <t xml:space="preserve">HH</t>
  </si>
  <si>
    <t xml:space="preserve">Row sum</t>
  </si>
  <si>
    <t xml:space="preserve">E1</t>
  </si>
  <si>
    <t xml:space="preserve">Fuel Exploitation</t>
  </si>
  <si>
    <t xml:space="preserve">Upstream oil and gas: fugitive methane, venting, flaring, own energy use. IPCC 1B.</t>
  </si>
  <si>
    <t xml:space="preserve">E2</t>
  </si>
  <si>
    <t xml:space="preserve">Power Industry</t>
  </si>
  <si>
    <t xml:space="preserve">Public electricity and heat generation. IPCC 1A1a.</t>
  </si>
  <si>
    <t xml:space="preserve">E3</t>
  </si>
  <si>
    <t xml:space="preserve">Industrial Combustion</t>
  </si>
  <si>
    <t xml:space="preserve">Fuel combustion in manufacturing industries AND construction. IPCC 1A2.</t>
  </si>
  <si>
    <t xml:space="preserve">E4</t>
  </si>
  <si>
    <t xml:space="preserve">Transport</t>
  </si>
  <si>
    <t xml:space="preserve">Road, domestic aviation, domestic navigation, rail. INCLUDES private household vehicles. IPCC 1A3.</t>
  </si>
  <si>
    <t xml:space="preserve">E5</t>
  </si>
  <si>
    <t xml:space="preserve">Agriculture</t>
  </si>
  <si>
    <t xml:space="preserve">Enteric fermentation, manure, soils, agricultural fuel use. IPCC 3.</t>
  </si>
  <si>
    <t xml:space="preserve">E6</t>
  </si>
  <si>
    <t xml:space="preserve">Buildings</t>
  </si>
  <si>
    <t xml:space="preserve">Residential, commercial and institutional fuel combustion, i.e. building OCCUPANCY energy. IPCC 1A4. NOT the construction industry.</t>
  </si>
  <si>
    <t xml:space="preserve">E7</t>
  </si>
  <si>
    <t xml:space="preserve">Residual (industrial processes, waste, other)</t>
  </si>
  <si>
    <t xml:space="preserve">PLUG: national total less the six categories above.</t>
  </si>
  <si>
    <t xml:space="preserve">Sum of categories</t>
  </si>
  <si>
    <t xml:space="preserve">National total GHG (MtCO2e)</t>
  </si>
  <si>
    <t xml:space="preserve">Allocated emissions by lending sector (MtCO2e)</t>
  </si>
  <si>
    <t xml:space="preserve">Allocated MtCO2e</t>
  </si>
  <si>
    <t xml:space="preserve">Plausibility checks</t>
  </si>
  <si>
    <t xml:space="preserve">Population (millions)</t>
  </si>
  <si>
    <t xml:space="preserve">National emissions per head (tCO2e)</t>
  </si>
  <si>
    <t xml:space="preserve">High, but consistent with Oman being among the highest per-capita emitters globally. Not a fail.</t>
  </si>
  <si>
    <t xml:space="preserve">EDGAR Buildings per head (tCO2e)</t>
  </si>
  <si>
    <t xml:space="preserve">This is DIRECT fuel combustion in buildings only; air conditioning electricity is already counted under Power Industry. Above roughly 3 tCO2e per head the figure is not credible for a hot climate. Seventy per cent is allocated to households so it does not distort corporate intensities, but the underlying figure should be re-checked.</t>
  </si>
  <si>
    <t xml:space="preserve">The remainder is households and own-account use: private vehicles and residential building energy. In v2 these were charged to Transport &amp; Logistics and to Construction respectively.</t>
  </si>
  <si>
    <t xml:space="preserve">The three shaded allocation rows that carry judgement are E3 (industrial combustion across manufacturing, mining and construction), E4 (transport between freight operators and households) and E6 (buildings between households and commercial occupiers), plus the E7 residual. Replace with an EDGAR sub-sector download or an ISIC-basis emissions account from Eora, EXIOBASE or GTAP, reconciled to the EDGAR national total.</t>
  </si>
  <si>
    <t xml:space="preserve">Emissions intensity by sector</t>
  </si>
  <si>
    <t xml:space="preserve">Basis: tCO2e all-gas Scope 1 per US$ million of the denominator selected on Sector_Master (GVA by default). The same basis is used in EU_k_Calibration.</t>
  </si>
  <si>
    <t xml:space="preserve">Emissions (MtCO2e)</t>
  </si>
  <si>
    <t xml:space="preserve">Intensity (tCO2e / US$m)</t>
  </si>
  <si>
    <t xml:space="preserve">Note</t>
  </si>
  <si>
    <t xml:space="preserve">Implied economy-wide intensity (corporate only)</t>
  </si>
  <si>
    <t xml:space="preserve">Sectors with zero intensity are impossible in this taxonomy because every sector has a positive denominator and a positive emissions allocation. That was the v3 defect, caused by creating rows for ISIC sections that Oman does not itemise.</t>
  </si>
  <si>
    <t xml:space="preserve">NGFS Phase V shadow carbon price</t>
  </si>
  <si>
    <t xml:space="preserve">Scenario</t>
  </si>
  <si>
    <t xml:space="preserve">Unit: US$2010 per tCO2. VERIFIED against NGFS Phase V, Main results, Carbon prices: both published charts are labelled US$2010/tCO2.</t>
  </si>
  <si>
    <t xml:space="preserve">VERIFIED: the report states that a shadow price of around $300/tCO2 is needed by 2035 to incentivise net zero by 2050, an increase from $98/tCO2 in 2025 to $294/tCO2 within ten years. The Net Zero 2035 cell has been corrected from 290 to 294. The remaining cells are chart-read and are flagged.</t>
  </si>
  <si>
    <t xml:space="preserve">VERIFIED, AND A CONSERVATIVE BIAS: these are weighted GLOBAL prices. The source footnote states that prices tend to be LOWER in emerging economies, because policy stringency is lower and more low-cost abatement remains available. Applying the global path to Oman therefore OVERSTATES the transition cost. Phase V downscales carbon prices to 220 countries; pull the Oman (OMN) series to remove the bias.</t>
  </si>
  <si>
    <t xml:space="preserve">Fragmented World exists specifically to generate divergent REGIONAL prices, so a single global path removes the feature that distinguishes it from Delayed Transition.</t>
  </si>
  <si>
    <t xml:space="preserve">Interpretation: an NGFS shadow price is a marginal abatement cost, not a tax bill. Charging price times full current emissions with no abatement response is conservative.</t>
  </si>
  <si>
    <t xml:space="preserve">Scenario mapping, price deflator and macro deviations</t>
  </si>
  <si>
    <t xml:space="preserve">Quadrant mapping and warming</t>
  </si>
  <si>
    <t xml:space="preserve">Quadrant</t>
  </si>
  <si>
    <t xml:space="preserve">NGFS Phase V scenario</t>
  </si>
  <si>
    <t xml:space="preserve">Warming by 2100 (degC)</t>
  </si>
  <si>
    <t xml:space="preserve">Orderly</t>
  </si>
  <si>
    <t xml:space="preserve">Disorderly</t>
  </si>
  <si>
    <t xml:space="preserve">Hot House World</t>
  </si>
  <si>
    <t xml:space="preserve">Too Little Too Late</t>
  </si>
  <si>
    <t xml:space="preserve">VERIFIED against NGFS Phase V, Scenarios at a glance. All four warming figures match.</t>
  </si>
  <si>
    <t xml:space="preserve">Price base alignment</t>
  </si>
  <si>
    <t xml:space="preserve">Carbon price base year</t>
  </si>
  <si>
    <t xml:space="preserve">Denominator (GVA) base year</t>
  </si>
  <si>
    <t xml:space="preserve">US GDP deflator, ratio target year / 2010</t>
  </si>
  <si>
    <t xml:space="preserve">TO VERIFY: US Bureau of Economic Analysis implicit price deflator for GDP, 2023 index divided by 2010 index. The NGFS price is in US$2010 and the denominator is in 2023 US dollars. v2 mixed the two without adjustment, which understated every cost ratio by roughly a quarter.</t>
  </si>
  <si>
    <t xml:space="preserve">Transition-only GDP LEVEL deviation from baseline (%)</t>
  </si>
  <si>
    <t xml:space="preserve">Fragmented World check</t>
  </si>
  <si>
    <t xml:space="preserve">PARTLY VERIFIED. The Phase V GDP decomposition chart shows the transition component graphically, not as a table, so exact values cannot be read. The Net Zero and Delayed Transition magnitudes and shapes are consistent with that chart, and ECB Occasional Paper 281 independently states that the transition-risk impact is limited to no more than 2% of European GDP under a disorderly transition, which corroborates the -2.0% figure.</t>
  </si>
  <si>
    <t xml:space="preserve">NOT VERIFIABLE: Fragmented World is not plotted in the published chart at all, which shows only Net Zero 2050, Delayed Transition and Current Policies. No public figure exists. A zero deviation for a high-cost, badly co-ordinated transition is not credible.</t>
  </si>
  <si>
    <t xml:space="preserve">CORRECT BY CONSTRUCTION: Current Policies at zero. It is the transition baseline and carries no additional transition cost. Its risk is physical, which this model does not cover.</t>
  </si>
  <si>
    <t xml:space="preserve">REQUIRED PULL: IIASA NGFS Phase V Scenario Explorer, model NiGEM NGFS v1.23.2, variable NiGEM|Gross Domestic Product (GDP), damage decomposition = Transition, region = Middle East. Oman has no country-level NiGEM macro output; Middle East is the closest aggregate and includes Oman. For a hydrocarbon exporter the Net Zero transition loss should be a MULTIPLE of the global figure, not below it.</t>
  </si>
  <si>
    <t xml:space="preserve">Horizon control</t>
  </si>
  <si>
    <t xml:space="preserve">Horizon year (2030 / 2035 / 2040 / 2050)</t>
  </si>
  <si>
    <t xml:space="preserve">Dynamic adjustment: emissions intensity and denominator paths</t>
  </si>
  <si>
    <t xml:space="preserve">Both indices default to 1.00, which reproduces a static treatment exactly. Switching them on requires no change to any formula downstream.</t>
  </si>
  <si>
    <t xml:space="preserve">Emissions intensity index at horizon</t>
  </si>
  <si>
    <t xml:space="preserve">Denominator index at horizon</t>
  </si>
  <si>
    <t xml:space="preserve">Emissions intensity index: scenario sector intensity at the horizon divided by the same intensity in the base year. Under Net Zero 2050 this is well below 1.00 for power and industry, so leaving it at 1.00 OVERSTATES the carbon cost. Source: NGFS Phase V IAM output, Emissions|CO2 by sector and Final Energy by sector, downscaled to Oman.</t>
  </si>
  <si>
    <t xml:space="preserve">Denominator index: scenario nominal GVA at the horizon divided by base-year GVA. Leaving it at 1.00 UNDERSTATES the denominator and so overstates the cost ratio. Source: NiGEM GDP path, Middle East.</t>
  </si>
  <si>
    <t xml:space="preserve">The two omissions bias the cost ratio in opposite directions and do not reliably cancel.</t>
  </si>
  <si>
    <t xml:space="preserve">Physical risk: hazard baselines, warming path and severity</t>
  </si>
  <si>
    <t xml:space="preserve">Layer 2 design. Physical damage is expressed as an annual cost as a share of value added, exactly like the carbon cost, and the two are added together INSIDE the push transform. That reuses the calibrated k rather than inventing a second sensitivity, on the reasoning that a dollar of flood damage hits the profit and loss account the same way a dollar of carbon cost does.</t>
  </si>
  <si>
    <t xml:space="preserve">A.  Baseline annual average loss: tropical cyclone and flood   [SOURCED from Oman's event record]</t>
  </si>
  <si>
    <t xml:space="preserve">Event</t>
  </si>
  <si>
    <t xml:space="preserve">Year</t>
  </si>
  <si>
    <t xml:space="preserve">Direct damage (US$ m)</t>
  </si>
  <si>
    <t xml:space="preserve">Source</t>
  </si>
  <si>
    <t xml:space="preserve">Cyclone Gonu</t>
  </si>
  <si>
    <t xml:space="preserve">Fritz et al. (2010); IWA Water Practice &amp; Technology 17(12). Widely reported at US$4.0 to 4.2bn (2007 dollars). Still the worst natural disaster in Oman's history.</t>
  </si>
  <si>
    <t xml:space="preserve">Cyclone Phet</t>
  </si>
  <si>
    <t xml:space="preserve">Haggag &amp; Badry (2012). Damage exceeded US$700m in Oman.</t>
  </si>
  <si>
    <t xml:space="preserve">Cyclone Shaheen</t>
  </si>
  <si>
    <t xml:space="preserve">Government of Oman estimate of direct economic losses, cited in Al-Manji (2022).</t>
  </si>
  <si>
    <t xml:space="preserve">Total observed direct damage</t>
  </si>
  <si>
    <t xml:space="preserve">Observation window (years)</t>
  </si>
  <si>
    <t xml:space="preserve">2007 to 2024 inclusive. The literature describes intense cyclones striking Oman roughly every three to four years, so an 18-year window covering three major events is consistent with that frequency.</t>
  </si>
  <si>
    <t xml:space="preserve">Annual average loss (US$ m per year)</t>
  </si>
  <si>
    <t xml:space="preserve">National gross value added (US$ m)</t>
  </si>
  <si>
    <t xml:space="preserve">Baseline AAL as a share of GVA</t>
  </si>
  <si>
    <t xml:space="preserve">This is a floor, not a full estimate. It captures only the three largest recorded events and omits smaller wadi flash floods, the April 2024 rainfall episode, and all indirect losses. It also uses nominal damage figures from different years without deflating. Every one of those omissions pushes the true figure up.</t>
  </si>
  <si>
    <t xml:space="preserve">B.  Baseline annual average loss by hazard (share of national GVA)</t>
  </si>
  <si>
    <t xml:space="preserve">Hazard</t>
  </si>
  <si>
    <t xml:space="preserve">Baseline AAL (% of GVA)</t>
  </si>
  <si>
    <t xml:space="preserve">Economic mechanism</t>
  </si>
  <si>
    <t xml:space="preserve">H1</t>
  </si>
  <si>
    <t xml:space="preserve">Tropical cyclone and flood</t>
  </si>
  <si>
    <t xml:space="preserve">Destruction of physical capital, followed by business interruption while operations are restored.</t>
  </si>
  <si>
    <t xml:space="preserve">SOURCED from event record</t>
  </si>
  <si>
    <t xml:space="preserve">H2</t>
  </si>
  <si>
    <t xml:space="preserve">Extreme heat</t>
  </si>
  <si>
    <t xml:space="preserve">Loss of outdoor labour productivity, midday working restrictions, higher cooling load and equipment derating.</t>
  </si>
  <si>
    <t xml:space="preserve">INPUT - replace with NGFS acute heatwave damage</t>
  </si>
  <si>
    <t xml:space="preserve">H3</t>
  </si>
  <si>
    <t xml:space="preserve">Water stress and drought</t>
  </si>
  <si>
    <t xml:space="preserve">Constrained output, higher input costs, higher desalination energy cost.</t>
  </si>
  <si>
    <t xml:space="preserve">INPUT - replace with NGFS acute drought damage</t>
  </si>
  <si>
    <t xml:space="preserve">REQUIRED PULL to replace H2 and H3: IIASA NGFS Phase V Scenario Explorer, model NiGEM NGFS v1.23.2, variable NiGEM|Gross Domestic Product (GDP) with damage decomposition = Acute, hazard = heatwaves and drought, region = Middle East. NGFS models exactly four acute hazards: heatwaves acting on the labour force, cyclones and floods acting on the capital stock, and drought acting on productivity, commodity prices and exports. Cyclone and flood are combined into H1 here because Oman's loss record cannot separate them: the damage from an Arabian Sea cyclone is overwhelmingly flood damage.</t>
  </si>
  <si>
    <t xml:space="preserve">C.  Warming path</t>
  </si>
  <si>
    <t xml:space="preserve">Warming above pre-industrial today (degC)</t>
  </si>
  <si>
    <t xml:space="preserve">Base year</t>
  </si>
  <si>
    <t xml:space="preserve">Warming at horizon (degC)</t>
  </si>
  <si>
    <t xml:space="preserve">Ratio to today</t>
  </si>
  <si>
    <t xml:space="preserve">The horizon column is a straight-line interpolation between today's warming and the end-of-century figure. It is a PLACEHOLDER and it is the weakest link in the physical module. Replace it with the MAGICC temperature path published with NGFS Phase V, which is available by scenario and year.</t>
  </si>
  <si>
    <t xml:space="preserve">Why this matters more than it looks. Warming paths diverge slowly. At 2100 the four scenarios span 1.4 to 3.0 degrees, but at 2040 they span only about 1.32 to 1.64. Physical risk therefore barely discriminates between scenarios at a 2040 horizon and discriminates strongly at 2050 and beyond. If the point of the exercise is to show the transition-versus-physical trade-off, run it at 2050.</t>
  </si>
  <si>
    <t xml:space="preserve">D.  Severity multipliers</t>
  </si>
  <si>
    <t xml:space="preserve">Warming elasticity</t>
  </si>
  <si>
    <t xml:space="preserve">Damage rises faster than temperature because it scales with storm intensity, and intensity enters damage functions at a high power. IPCC AR6 finds the proportion of the most intense tropical cyclones increases with warming.</t>
  </si>
  <si>
    <t xml:space="preserve">Labour productivity loss is strongly convex in temperature: hours lost rise sharply once wet-bulb thresholds are crossed, which the Gulf is already close to.</t>
  </si>
  <si>
    <t xml:space="preserve">Water stress responds to warming through evaporation and precipitation variability, but Oman is already at the extreme of the scale, so the marginal elasticity is lower.</t>
  </si>
  <si>
    <t xml:space="preserve">Multiplier = (warming at horizon / warming today) ^ elasticity. All three elasticities are ANALYST JUDGEMENT and are exposed for sensitivity. They control how sharply physical risk separates the scenarios, so they should be tested before any result is presented.</t>
  </si>
  <si>
    <t xml:space="preserve">E.  Loss transfer and conversion to a profit-and-loss impact</t>
  </si>
  <si>
    <t xml:space="preserve">Insurance recovery</t>
  </si>
  <si>
    <t xml:space="preserve">Share of loss hitting the P&amp;L</t>
  </si>
  <si>
    <t xml:space="preserve">Reasoning</t>
  </si>
  <si>
    <t xml:space="preserve">Oman's non-life insurance penetration is low and catastrophe cover is far from universal, so most damage is retained. Of the retained loss, the split below sends 60% to the profit and loss account as business interruption and repair expense, and leaves 40% as capital replacement.</t>
  </si>
  <si>
    <t xml:space="preserve">Not an insurable event. Lost labour hours hit the P&amp;L in full.</t>
  </si>
  <si>
    <t xml:space="preserve">Not an insurable event. Higher input and water costs hit the P&amp;L in full.</t>
  </si>
  <si>
    <t xml:space="preserve">THIS IS THE CHANNEL SEPARATION RULE, and it is the reason physical risk can sit in PD and in LGD without double counting. The PD channel takes only the flow that reaches the income statement: business interruption and repair expense, which is what determines whether the borrower can service the loan. The remaining 40% is capital replacement, which is where the collateral and LGD channel operates. The two shares sum to one, so the same damage is never charged twice. If the LGD module is reattached, it must use the 40% remainder and not the full loss.</t>
  </si>
  <si>
    <t xml:space="preserve">Physical risk: sector exposure and physical cost ratio</t>
  </si>
  <si>
    <t xml:space="preserve">Exposure weights are RELATIVE, not absolute. They redistribute the national annual average loss across sectors; they do not change its total. Column H to J normalise the raw weights so that the value-added-weighted average is exactly 1.00, which guarantees the national loss is preserved whatever weights are entered.</t>
  </si>
  <si>
    <t xml:space="preserve">GVA share</t>
  </si>
  <si>
    <t xml:space="preserve">H1 raw</t>
  </si>
  <si>
    <t xml:space="preserve">H2 raw</t>
  </si>
  <si>
    <t xml:space="preserve">H3 raw</t>
  </si>
  <si>
    <t xml:space="preserve">H1 used</t>
  </si>
  <si>
    <t xml:space="preserve">H2 used</t>
  </si>
  <si>
    <t xml:space="preserve">H3 used</t>
  </si>
  <si>
    <t xml:space="preserve">Batinah farms were the worst-hit sector in Shaheen. Outdoor labour throughout. Overwhelmingly the most water-dependent activity in the economy.</t>
  </si>
  <si>
    <t xml:space="preserve">Producing fields are largely inland and away from cyclone tracks, though export terminals and coastal infrastructure are exposed. Outdoor operations in extreme heat. Water is used for enhanced oil recovery.</t>
  </si>
  <si>
    <t xml:space="preserve">Quarries are dispersed. Entirely outdoor work, so heat exposure is at the top of the range.</t>
  </si>
  <si>
    <t xml:space="preserve">Oman's industrial base is concentrated in coastal zones at Sohar, Duqm and Salalah, which is exactly where cyclones make landfall. Production is mostly indoors.</t>
  </si>
  <si>
    <t xml:space="preserve">Generation and desalination plants sit on the coast, and distribution networks failed widely in both Gonu and Shaheen. Desalination energy demand rises with water stress.</t>
  </si>
  <si>
    <t xml:space="preserve">Sites, plant and stored materials are exposed. Highest heat exposure of any sector: outdoor labour subject to statutory midday working bans in summer.</t>
  </si>
  <si>
    <t xml:space="preserve">Retail premises and warehousing are concentrated along the populated Batinah coast.</t>
  </si>
  <si>
    <t xml:space="preserve">Ports, roads and logistics assets are coastal and were among the most visibly damaged in Shaheen.</t>
  </si>
  <si>
    <t xml:space="preserve">Hotel stock is overwhelmingly coastal, and tourism is water-intensive per guest.</t>
  </si>
  <si>
    <t xml:space="preserve">Offices, dispersed and mostly inland. Lowest physical exposure of any sector on all three hazards.</t>
  </si>
  <si>
    <t xml:space="preserve">GVA-weighted mean of raw weights</t>
  </si>
  <si>
    <t xml:space="preserve">GVA-weighted mean after normalisation (must be 1.000)</t>
  </si>
  <si>
    <t xml:space="preserve">All thirty raw weights are ANALYST JUDGEMENT, grounded in the damage pattern of Gonu and Shaheen, the coastal concentration of Oman's industrial and tourism assets, and which sectors employ outdoor labour. They are the single largest block of judgement in the physical module and should be replaced with geolocated collateral and site data if the bank holds it.</t>
  </si>
  <si>
    <t xml:space="preserve">Physical cost ratio by sector and scenario (annual P&amp;L impact as a share of value added)</t>
  </si>
  <si>
    <t xml:space="preserve">GVA-weighted average (must equal the national AAL after severity and P&amp;L conversion)</t>
  </si>
  <si>
    <t xml:space="preserve">Formula, per sector j and scenario s:   physical cost ratio = SUM over hazards of [ baseline AAL x severity multiplier x normalised exposure x (1 - insurance recovery) x share hitting the P&amp;L ].  Every term is on this tab or on Physical_Hazard, and each is sourced or flagged individually.</t>
  </si>
  <si>
    <t xml:space="preserve">Calibration of k on the MEDIAN European firm</t>
  </si>
  <si>
    <t xml:space="preserve">k = push_EU / LN(1 + cost_ratio_EU). Every input is either traced to ECB Occasional Paper 281 (Alogoskoufis et al., September 2021) or flagged as an assumption with its reasoning stated beside it.</t>
  </si>
  <si>
    <t xml:space="preserve">A.  PD anchor, median European firm   [VERIFIED]</t>
  </si>
  <si>
    <t xml:space="preserve">Median firm baseline PD</t>
  </si>
  <si>
    <t xml:space="preserve">VERIFIED: OP 281 Chart 31 panel b, right-hand axis. The median-firm series runs from about 1.9% in 2020 to about 2.4% by 2050.</t>
  </si>
  <si>
    <t xml:space="preserve">ANCHOR A: relative PD increase, TRANSITION ONLY</t>
  </si>
  <si>
    <t xml:space="preserve">VERIFIED: OP 281 Section 5.3. The median firm carries a PD about 0.5% HIGHER under orderly transition than under hot house world during the policy implementation phase (the first ten years). Hot house world has NO transition policy, so this difference isolates the transition effect cleanly. Chart 28 confirms these are relative percentage CHANGES, not percentage points.</t>
  </si>
  <si>
    <t xml:space="preserve">ANCHOR B: relative PD increase, DISORDERLY vs ORDERLY at 2050</t>
  </si>
  <si>
    <t xml:space="preserve">VERIFIED: OP 281 Section 5.3. Median-firm PDs are about 2.5% higher by 2050 under disorderly than under orderly transition. This is the figure the v2 live sheet used. It is not transition-only, so it is offered as a sensitivity rather than the primary anchor.</t>
  </si>
  <si>
    <t xml:space="preserve">Anchor in use  (A or B)</t>
  </si>
  <si>
    <t xml:space="preserve">Stressed PD implied</t>
  </si>
  <si>
    <t xml:space="preserve">push_EU  =  N-1(PD stressed) - N-1(PD baseline)</t>
  </si>
  <si>
    <t xml:space="preserve">DISCARDED ANCHORS, for the record. The v2 register carried 2.0% to 4.0% with an intensity of 20,000 t/$m. Both trace to OP 281 Section 5.4: coal mining (NACE B05) PDs rise to 4% under disorderly transition, a 100% increase, and coal mining emits upward of 20,000 tCO2 per million dollars of revenue on a SCOPE 3 basis. They were a self-consistent COAL MINING pair, not a contradiction. They are not median-firm figures and are not used.</t>
  </si>
  <si>
    <t xml:space="preserve">B.  Emission intensity of the median European firm</t>
  </si>
  <si>
    <t xml:space="preserve">THE PROBLEM. OP 281 reports intensity per unit of TURNOVER. Oman publishes value added by activity but not turnover, so the model runs on GVA. v2 calibrated on one basis and applied on the other, which inflated every Oman cost ratio. Two routes are provided; both are computed, and the selector below chooses which feeds k.</t>
  </si>
  <si>
    <t xml:space="preserve">ROUTE 1, THE WORKAROUND (default). Rather than converting the EU turnover figure onto a GVA basis with an unsourced ratio, build the EU intensity the SAME WAY the Oman intensity is built: national territorial Scope 1 emissions divided by national gross value added. National territorial emissions ARE Scope 1 by construction, so the two sides become structurally identical and the turnover conversion never enters. One documented adjustment is then applied for median firm versus economy average.</t>
  </si>
  <si>
    <t xml:space="preserve">EU27 total GHG emissions (MtCO2e)</t>
  </si>
  <si>
    <t xml:space="preserve">TO VERIFY: European Environment Agency EU27 GHG inventory, latest reporting year, total excluding LULUCF. Match the reporting year to the GVA year below.</t>
  </si>
  <si>
    <t xml:space="preserve">Household and own-account share to exclude</t>
  </si>
  <si>
    <t xml:space="preserve">Residential heating plus private road transport. Removed so the EU figure covers the corporate economy only, exactly as the Oman figure does via the Households column on Emissions_Allocation.</t>
  </si>
  <si>
    <t xml:space="preserve">EU27 total gross value added (EUR bn)</t>
  </si>
  <si>
    <t xml:space="preserve">TO VERIFY: Eurostat nama_10_a10, value added at basic prices, current prices, same year as the emissions figure.</t>
  </si>
  <si>
    <t xml:space="preserve">EU corporate Scope 1 intensity (tCO2e per EURm GVA)</t>
  </si>
  <si>
    <t xml:space="preserve">Median firm to economy average intensity ratio</t>
  </si>
  <si>
    <t xml:space="preserve">Basis: OP 281 Chart 12 reports about 600 tCO2e/EURm for micro firms against about 1,100 for large firms, and states that large firms produce roughly 90% of total emissions. The emissions-weighted average therefore sits close to the large-firm figure, and the ratio of a typical smaller firm to that average is about 600/1,050, i.e. 0.57. Without this adjustment the calibration would attribute the emissions of the largest firms to the median one.</t>
  </si>
  <si>
    <t xml:space="preserve">ROUTE 1 intensity (tCO2e per EURm GVA)</t>
  </si>
  <si>
    <t xml:space="preserve">ROUTE 2, FIRM-LEVEL. Retained for comparison. It needs three assumptions instead of one adjustment, and reintroduces the turnover-to-GVA conversion that caused the original defect.</t>
  </si>
  <si>
    <t xml:space="preserve">Median firm total intensity, Scope 1+2+3 (tCO2e per EURm turnover)</t>
  </si>
  <si>
    <t xml:space="preserve">OP 281 Chart 12 reports about 1,100 for large firms and about 600 for micro, Scope 1+2+3. 850 is the mid-point.</t>
  </si>
  <si>
    <t xml:space="preserve">Scope 1 share of total emissions</t>
  </si>
  <si>
    <t xml:space="preserve">Not published. Charts 12 and 13 both show Scope 3 dominating for every firm size and almost every sector, so a share of 5% to 20% is consistent.</t>
  </si>
  <si>
    <t xml:space="preserve">EU turnover / GVA ratio</t>
  </si>
  <si>
    <t xml:space="preserve">Source from Eurostat Structural Business Statistics sbs_na_ind_r2. Set to 1.00 if the Sector_Master basis is switched to TURNOVER.</t>
  </si>
  <si>
    <t xml:space="preserve">ROUTE 2 intensity (tCO2e per EURm of the model's denominator)</t>
  </si>
  <si>
    <t xml:space="preserve">INTENSITY ROUTE IN USE  (1 or 2)</t>
  </si>
  <si>
    <t xml:space="preserve">Selected EU intensity</t>
  </si>
  <si>
    <t xml:space="preserve">Route 1 is the default because it removes the unit conversion entirely and because its inputs are published national aggregates rather than unpublished firm statistics. Route 1 assumes the Sector_Master basis is GVA; if the basis is switched to TURNOVER, use Route 2.</t>
  </si>
  <si>
    <t xml:space="preserve">C.  Carbon price paired with the anchor   [ASSUMPTION - scenario vintage mismatch]</t>
  </si>
  <si>
    <t xml:space="preserve">OP 281 Section 3.1 states the ECB exercise uses the NGFS PHASE I scenarios (NGFS 2020b), not Phase V. The price paired with the PD response must therefore be the Phase I orderly-transition price at the anchor horizon. v2 paired the ECB PD response with a Phase V NDC price of US$80, which is a vintage mismatch. The cell below makes the assumption visible and testable.</t>
  </si>
  <si>
    <t xml:space="preserve">NGFS Phase I orderly-transition carbon price at the anchor horizon (US$/tCO2)</t>
  </si>
  <si>
    <t xml:space="preserve">USD / EUR</t>
  </si>
  <si>
    <t xml:space="preserve">Anchor carbon price (EUR/tCO2)</t>
  </si>
  <si>
    <t xml:space="preserve">CORRECTED, VERIFIED: OP 281 Section 5.1 applies the carbon tax to operating costs with no cost relief; any demand response runs separately through Scope 3 revenues. There is no pass-through in the ECB cost channel. v2 used 50%, inconsistent with how the anchor was generated.</t>
  </si>
  <si>
    <t xml:space="preserve">D.  Result</t>
  </si>
  <si>
    <t xml:space="preserve">cost_ratio_EU  =  price x intensity x (1 - PT) / 1,000,000</t>
  </si>
  <si>
    <t xml:space="preserve">k  SELECTED  (feeds StressedPD_Sector)</t>
  </si>
  <si>
    <t xml:space="preserve">E.  Sensitivity of k to the EU intensity and the anchor</t>
  </si>
  <si>
    <t xml:space="preserve">EU intensity (t/EURm)</t>
  </si>
  <si>
    <t xml:space="preserve">k (Anchor A)</t>
  </si>
  <si>
    <t xml:space="preserve">k (Anchor B)</t>
  </si>
  <si>
    <t xml:space="preserve">k moves by roughly a factor of eight across this grid and by a further factor of five between the two anchors. That range is the honest measure of how much public sources can pin down. The two ways to narrow it are (a) three or more PD anchors from OP 281 across sectors of differing intensity, which would also give the LN(1+x) curvature some empirical support instead of imposing it, and (b) a median-firm Scope 1 intensity, which would need the underlying Urgentem data.</t>
  </si>
  <si>
    <t xml:space="preserve">F.  Extrapolation range</t>
  </si>
  <si>
    <t xml:space="preserve">Cost ratio at the calibration point</t>
  </si>
  <si>
    <t xml:space="preserve">Maximum cost ratio applied to Oman</t>
  </si>
  <si>
    <t xml:space="preserve">Extrapolation multiple</t>
  </si>
  <si>
    <t xml:space="preserve">k is calibrated at an EU cost ratio of well under 1% of GVA and applied to Oman cost ratios approaching 100% of GVA, so the extrapolation multiple is large by construction: the EU median firm faces a trivial carbon bill while Omani utilities and refiners face an existential one. The LN(1+x) form does the whole job of bridging that gap and it is not empirically supported over that range. Two responses, both defensible: disclose the multiple in the methodology note as a stated limitation, or cap the applied cost ratio at a level the bank is willing to defend and report the cap. Do not present a point estimate of stressed PD for the utilities sector without one of the two.</t>
  </si>
  <si>
    <t xml:space="preserve">Multi-anchor calibration of k and the curvature parameter</t>
  </si>
  <si>
    <t xml:space="preserve">Option 3. A single anchor identifies a SCALE only; the shape of push = k x g(cost ratio) is imposed. This tab extracts every usable PD anchor from ECB Occasional Paper 281, generalises the functional form to one curvature parameter, and reports what the anchors can and cannot identify.</t>
  </si>
  <si>
    <t xml:space="preserve">A.  Anchors extracted from ECB OP 281</t>
  </si>
  <si>
    <t xml:space="preserve">Group</t>
  </si>
  <si>
    <t xml:space="preserve">Relative PD change</t>
  </si>
  <si>
    <t xml:space="preserve">Stressed PD</t>
  </si>
  <si>
    <t xml:space="preserve">push</t>
  </si>
  <si>
    <t xml:space="preserve">Identification</t>
  </si>
  <si>
    <t xml:space="preserve">Mechanism generating the response</t>
  </si>
  <si>
    <t xml:space="preserve">Use</t>
  </si>
  <si>
    <t xml:space="preserve">Median European firm</t>
  </si>
  <si>
    <t xml:space="preserve">Orderly transition vs hot house world, policy implementation phase (Section 5.3). Hot house world has no transition policy, so this is a clean transition-only difference.</t>
  </si>
  <si>
    <t xml:space="preserve">Scope 1 carbon cost into operating expenses (Section 5.1).</t>
  </si>
  <si>
    <t xml:space="preserve">FIT</t>
  </si>
  <si>
    <t xml:space="preserve">High-emitting firms (top 10% by intensity)</t>
  </si>
  <si>
    <t xml:space="preserve">Orderly transition vs no policy action, short term (Section 5.4). Stated in the same sentence as the median 0.5% figure, so it is the same identification.</t>
  </si>
  <si>
    <t xml:space="preserve">Scope 1 carbon cost into operating expenses.</t>
  </si>
  <si>
    <t xml:space="preserve">Coal mining NACE B05, orderly</t>
  </si>
  <si>
    <t xml:space="preserve">PD rises to 5.0%, a 150% increase on current values (Section 5.4). Measured against the 2020 starting point, not against hot house world.</t>
  </si>
  <si>
    <t xml:space="preserve">MAINLY Scope 3 abatement investment raising leverage, stated explicitly in Section 5.4. NOT a Scope 1 cost response.</t>
  </si>
  <si>
    <t xml:space="preserve">CHECK</t>
  </si>
  <si>
    <t xml:space="preserve">Coal mining NACE B05, disorderly</t>
  </si>
  <si>
    <t xml:space="preserve">PD rises to 4.0%, a 100% increase on current values (Section 5.4).</t>
  </si>
  <si>
    <t xml:space="preserve">As anchor 3.</t>
  </si>
  <si>
    <t xml:space="preserve">All four are VERIFIED against the paper. Anchors 1 and 2 are the only pair on a common identification AND a common mechanism, so they are the only pair that can fit a Scope 1 cost curve. Anchors 3 and 4 are retained as an out-of-sample check.</t>
  </si>
  <si>
    <t xml:space="preserve">B.  Functional form and fit</t>
  </si>
  <si>
    <t xml:space="preserve">Generalised family:  push = k x g(x, theta),  where g(x, theta) = ((1+x)^theta - 1)/theta, and g = LN(1+x) at theta = 0. theta = +1 is linear, theta = 0 is the logarithmic form used in v4, theta = -1 is saturating x/(1+x). One parameter spans the whole plausible range of shapes.</t>
  </si>
  <si>
    <t xml:space="preserve">CURVATURE PARAMETER theta</t>
  </si>
  <si>
    <t xml:space="preserve">EU median firm cost ratio (anchor 1)</t>
  </si>
  <si>
    <t xml:space="preserve">g(x, theta) at anchor 1</t>
  </si>
  <si>
    <t xml:space="preserve">k  FITTED on anchor 1</t>
  </si>
  <si>
    <t xml:space="preserve">C.  What the second anchor actually identifies</t>
  </si>
  <si>
    <t xml:space="preserve">push ratio, high emitters / median</t>
  </si>
  <si>
    <t xml:space="preserve">Implied intensity multiple of the top decile over the median</t>
  </si>
  <si>
    <t xml:space="preserve">THIS IS THE RESULT THAT MATTERS. The second anchor does not pin down theta. It pins down the intensity multiple that theta implies, and that multiple barely moves: 3.97 at theta = +1, 4.02 at theta = 0, 4.07 at theta = -1. A spread of 2.5% across the entire plausible range of shapes.</t>
  </si>
  <si>
    <t xml:space="preserve">The reason is that both anchors sit at cost ratios below 4% of value added, where every smooth function is indistinguishable from a straight line. Curvature is a property of behaviour at LARGE cost ratios, and neither anchor is anywhere near that region.</t>
  </si>
  <si>
    <t xml:space="preserve">What the second anchor does give you is a VALIDATION rather than an identification. The implied top-decile-to-median intensity multiple of about 4 is entirely plausible for a firm-level emissions distribution, so the anchors are consistent with the form in use. They simply cannot discriminate between it and the alternatives.</t>
  </si>
  <si>
    <t xml:space="preserve">D.  Out-of-sample check against the coal anchors</t>
  </si>
  <si>
    <t xml:space="preserve">push ratio, coal (orderly) / median</t>
  </si>
  <si>
    <t xml:space="preserve">Intensity multiple coal would need, at the current theta</t>
  </si>
  <si>
    <t xml:space="preserve">Plausible coal Scope 1 intensity multiple over the median firm</t>
  </si>
  <si>
    <t xml:space="preserve">OP 281 Section 5.4 puts coal mining above 20,000 tCO2 per million dollars of revenue on a SCOPE 3 basis, against under 3,000 for every other sector. Coal's Scope 1 (mine methane, machinery) is a small fraction of that. Ten times the median firm's Scope 1 intensity is generous.</t>
  </si>
  <si>
    <t xml:space="preserve">Discrepancy factor</t>
  </si>
  <si>
    <t xml:space="preserve">Verdict</t>
  </si>
  <si>
    <t xml:space="preserve">The coal anchor demands an intensity 20 to 50 times higher than coal mining plausibly has, and at theta = -1 the saturating form cannot reach it at any intensity at all. That is not a failure of the fit: it confirms what OP 281 states directly, that coal's PD impact is driven mainly by the need to fund abatement of very high SCOPE 3 emissions, which raises leverage. It is not a Scope 1 operating-cost response, so it cannot calibrate a Scope 1 cost curve and must not be forced into one.</t>
  </si>
  <si>
    <t xml:space="preserve">E.  Consequence for the Oman result</t>
  </si>
  <si>
    <t xml:space="preserve">Maximum Oman cost ratio (post-cap)</t>
  </si>
  <si>
    <t xml:space="preserve">theta</t>
  </si>
  <si>
    <t xml:space="preserve">Form</t>
  </si>
  <si>
    <t xml:space="preserve">k</t>
  </si>
  <si>
    <t xml:space="preserve">Implied top-decile multiple</t>
  </si>
  <si>
    <t xml:space="preserve">push at max Oman cost ratio</t>
  </si>
  <si>
    <t xml:space="preserve">PD at MR5 (2.00% base)</t>
  </si>
  <si>
    <t xml:space="preserve">PD multiple</t>
  </si>
  <si>
    <t xml:space="preserve">linear</t>
  </si>
  <si>
    <t xml:space="preserve">log (in use in v4)</t>
  </si>
  <si>
    <t xml:space="preserve">saturating</t>
  </si>
  <si>
    <t xml:space="preserve">The Omani utilities PD multiple spans 1.37x to 1.84x across the full curvature range, and nothing in OP 281 narrows it. Option 3 has therefore delivered a second verified anchor and a plausibility validation, but it has NOT closed the extrapolation problem, and it now shows precisely why: every usable anchor lives in the near-linear region, and the only high-intensity anchor is generated by a different mechanism.</t>
  </si>
  <si>
    <t xml:space="preserve">F.  Practical control</t>
  </si>
  <si>
    <t xml:space="preserve">Cost ratio cap (999 = off)</t>
  </si>
  <si>
    <t xml:space="preserve">Sectors and scenarios where the cap binds</t>
  </si>
  <si>
    <t xml:space="preserve">Wired but switched off. Given section E, a cap is the only mechanism that bounds the answer, because the curvature that governs behaviour above the calibration range cannot be estimated from the available anchors. Set it at a cost ratio the bank is prepared to defend, report the level, and report how many sector-scenario cells it binds on. A cap of 0.25 to 0.50 would bind on utilities and manufacturing in the Net Zero scenario and leave every other cell untouched.</t>
  </si>
  <si>
    <t xml:space="preserve">Macro leg: specification testing</t>
  </si>
  <si>
    <t xml:space="preserve">Dependent variable: probit of the Oman banking-system gross NPL ratio, 2014 to 2024 (11 annual observations). Regressor: Oman real GDP growth (EIU). Seventeen specifications tested; estimation data on Regression_Data.</t>
  </si>
  <si>
    <t xml:space="preserve">Specification</t>
  </si>
  <si>
    <t xml:space="preserve">n</t>
  </si>
  <si>
    <t xml:space="preserve">R2</t>
  </si>
  <si>
    <t xml:space="preserve">adj R2</t>
  </si>
  <si>
    <t xml:space="preserve">beta</t>
  </si>
  <si>
    <t xml:space="preserve">t</t>
  </si>
  <si>
    <t xml:space="preserve">p</t>
  </si>
  <si>
    <t xml:space="preserve">DW</t>
  </si>
  <si>
    <t xml:space="preserve">Assessment</t>
  </si>
  <si>
    <t xml:space="preserve">S1</t>
  </si>
  <si>
    <t xml:space="preserve">N-1(NPLR) ~ g</t>
  </si>
  <si>
    <t xml:space="preserve">level</t>
  </si>
  <si>
    <t xml:space="preserve">Specification used in v2. Durbin-Watson 0.16: severe positive residual autocorrelation, the level series is near non-stationary, the fit is spurious.</t>
  </si>
  <si>
    <t xml:space="preserve">S2</t>
  </si>
  <si>
    <t xml:space="preserve">N-1(NPLR) ~ g(-1)</t>
  </si>
  <si>
    <t xml:space="preserve">Autocorrelation unresolved.</t>
  </si>
  <si>
    <t xml:space="preserve">S3</t>
  </si>
  <si>
    <t xml:space="preserve">N-1(NPLR) ~ g(-2)</t>
  </si>
  <si>
    <t xml:space="preserve">S4</t>
  </si>
  <si>
    <t xml:space="preserve">N-1(NPLR) ~ MA2(g,g-1)</t>
  </si>
  <si>
    <t xml:space="preserve">S5</t>
  </si>
  <si>
    <t xml:space="preserve">N-1(NPLR) ~ MA2(g-1,g-2)</t>
  </si>
  <si>
    <t xml:space="preserve">S6</t>
  </si>
  <si>
    <t xml:space="preserve">N-1(NPLR) ~ MA3(g..g-2)</t>
  </si>
  <si>
    <t xml:space="preserve">Highest level-form R2, but DW 0.23 makes the standard errors uninterpretable. Rejected.</t>
  </si>
  <si>
    <t xml:space="preserve">S7</t>
  </si>
  <si>
    <t xml:space="preserve">N-1(NPLR) ~ g + g(-1)</t>
  </si>
  <si>
    <t xml:space="preserve">Adding a lag lowers adjusted R2.</t>
  </si>
  <si>
    <t xml:space="preserve">S8</t>
  </si>
  <si>
    <t xml:space="preserve">D N-1(NPLR) ~ g</t>
  </si>
  <si>
    <t xml:space="preserve">difference</t>
  </si>
  <si>
    <t xml:space="preserve">SELECTED. Differencing removes the near unit root. DW 1.89, correct sign, correlation -0.53. Implied mapping runs from the GDP LEVEL to the probit default rate, which is exactly what an NGFS GDP level deviation supplies.</t>
  </si>
  <si>
    <t xml:space="preserve">S9</t>
  </si>
  <si>
    <t xml:space="preserve">D N-1(NPLR) ~ g(-1)</t>
  </si>
  <si>
    <t xml:space="preserve">Lagging destroys the fit.</t>
  </si>
  <si>
    <t xml:space="preserve">D N-1(NPLR) ~ MA2(g,g-1)</t>
  </si>
  <si>
    <t xml:space="preserve">Close second; smoothing adds nothing over S8.</t>
  </si>
  <si>
    <t xml:space="preserve">S11</t>
  </si>
  <si>
    <t xml:space="preserve">D N-1(NPLR) ~ Dg</t>
  </si>
  <si>
    <t xml:space="preserve">Over-differenced.</t>
  </si>
  <si>
    <t xml:space="preserve">S12</t>
  </si>
  <si>
    <t xml:space="preserve">D N-1(NPLR) ~ Dg(-1)</t>
  </si>
  <si>
    <t xml:space="preserve">No relationship.</t>
  </si>
  <si>
    <t xml:space="preserve">S13</t>
  </si>
  <si>
    <t xml:space="preserve">N-1(NPLR) ~ g + lag dep.</t>
  </si>
  <si>
    <t xml:space="preserve">dynamic</t>
  </si>
  <si>
    <t xml:space="preserve">R2 0.93 is entirely the lagged dependent variable, whose coefficient is 0.93 with p&lt;0.001, i.e. a near unit root. Implied long-run beta -13.9, unusable. Confirms non-stationarity rather than explanatory power.</t>
  </si>
  <si>
    <t xml:space="preserve">S14</t>
  </si>
  <si>
    <t xml:space="preserve">N-1(NPLR) ~ g(-1) + lag dep.</t>
  </si>
  <si>
    <t xml:space="preserve">As S13.</t>
  </si>
  <si>
    <t xml:space="preserve">S15</t>
  </si>
  <si>
    <t xml:space="preserve">N-1(NPLR) ~ output gap</t>
  </si>
  <si>
    <t xml:space="preserve">Sign wrong (positive). Rejected.</t>
  </si>
  <si>
    <t xml:space="preserve">S16</t>
  </si>
  <si>
    <t xml:space="preserve">N-1(NPLR) ~ output gap(-1)</t>
  </si>
  <si>
    <t xml:space="preserve">Sign wrong. Rejected.</t>
  </si>
  <si>
    <t xml:space="preserve">S17</t>
  </si>
  <si>
    <t xml:space="preserve">D N-1(NPLR) ~ output gap(-1)</t>
  </si>
  <si>
    <t xml:space="preserve">Correct sign, no explanatory power.</t>
  </si>
  <si>
    <t xml:space="preserve">SELECTED  S8:   D N-1(NPLR_t)  =  a  +  beta x g_t</t>
  </si>
  <si>
    <t xml:space="preserve">1. UNIT CONSISTENCY, the decisive reason. Cumulating D y = a + b g, where y = N-1(default rate) and g = D ln(GDP), gives y_t = y_0 + a.t + b.ln(GDP_t / GDP_0). So y depends on the LEVEL of log GDP. An NGFS GDP deviation is a LEVEL deviation, so the scenario shift is simply b times the deviation, with no further derivation. v2 estimated b on a GROWTH rate and applied it to a LEVEL deviation, which is not a valid mapping.</t>
  </si>
  <si>
    <t xml:space="preserve">2. STATIONARITY. An ARDL fit (S13) returns an autoregressive coefficient of 0.93 with p below 0.001, i.e. the probit NPL series is close to a unit root. Every level specification therefore has Durbin-Watson between 0.16 and 0.38, and its standard errors are not interpretable whatever R2 says. S6 has the highest level-form R2 at 0.277 and is still unusable.</t>
  </si>
  <si>
    <t xml:space="preserve">3. FIT WITHIN THE VALID SET. Among the difference forms, which are the only ones with acceptable residual behaviour, S8 has the highest R2 (0.280) and the highest absolute correlation (-0.53), with the correct sign.</t>
  </si>
  <si>
    <t xml:space="preserve">NOT ADOPTED, AND WHY. Non-hydrocarbon GDP growth and the Brent price both fit Oman's credit cycle better than headline GDP, because headline GDP tracks hydrocarbon VOLUME under OPEC+ quota rather than domestic demand (2022: GDP +7.99% with NPLs rising). Neither is used because NGFS produces a TOTAL GDP deviation, so either would need a bridge equation from the scenario variable to the regressor. That bridge is the recommended next enhancement.</t>
  </si>
  <si>
    <t xml:space="preserve">NOT TESTED: quarterly data. CBO publishes banking-system aggregates quarterly, taking the sample from 10 observations to roughly 40. That is the cheapest available way to sharpen this estimate. A GCC panel with country fixed effects is the second option; Espinoza and Prasad (2010), IMF WP/10/224, is exactly that specification.</t>
  </si>
  <si>
    <t xml:space="preserve">CAVEAT ON THE DEPENDENT VARIABLE. The gross NPL ratio is a STOCK with a sticky numerator (write-off and provisioning policy, restructuring, forbearance) and a moving denominator (credit growth). The probit shift concerns a default FLOW. The 2020 observation, GDP -3.4% with the NPL ratio flat at 4.2%, is a write-off-policy artefact rather than evidence of no relationship. Replacing it with (new NPL inflows + write-offs) / performing loans at t-1 needs only internal bank data and would improve this materially.</t>
  </si>
  <si>
    <t xml:space="preserve">Estimation data</t>
  </si>
  <si>
    <t xml:space="preserve">Gross NPL ratio</t>
  </si>
  <si>
    <t xml:space="preserve">N-1(NPLR)</t>
  </si>
  <si>
    <t xml:space="preserve">D N-1(NPLR)</t>
  </si>
  <si>
    <t xml:space="preserve">Real GDP growth</t>
  </si>
  <si>
    <t xml:space="preserve">Correlation</t>
  </si>
  <si>
    <t xml:space="preserve">Slope (OLS)</t>
  </si>
  <si>
    <t xml:space="preserve">Intercept</t>
  </si>
  <si>
    <t xml:space="preserve">St dev of D N-1(NPLR)</t>
  </si>
  <si>
    <t xml:space="preserve">St dev of GDP growth</t>
  </si>
  <si>
    <t xml:space="preserve">NPL ratio: as entered in the v2 workbook, no citation was recorded. TO VERIFY against the CBO Annual Report or Financial Stability Report.</t>
  </si>
  <si>
    <t xml:space="preserve">GDP growth: Economist Intelligence Unit, Oman, Real GDP (% change, period on period), series DGDP. VERIFIED, source and extract date present in the v2 file.</t>
  </si>
  <si>
    <t xml:space="preserve">Macro leg: probit shift from the GDP level deviation</t>
  </si>
  <si>
    <t xml:space="preserve">macro_shift = beta x GDP level deviation x macro_beta(sector). Only the DEVIATION enters, so the regression intercept and any baseline growth assumption cancel. v2 carried both, and used a different baseline for Net Zero (2023 growth) from the other three scenarios (the 11-year mean).</t>
  </si>
  <si>
    <t xml:space="preserve">Beta</t>
  </si>
  <si>
    <t xml:space="preserve">beta, OLS point estimate (S8)</t>
  </si>
  <si>
    <t xml:space="preserve">correlation, estimated</t>
  </si>
  <si>
    <t xml:space="preserve">st dev of D N-1(NPLR)</t>
  </si>
  <si>
    <t xml:space="preserve">st dev of GDP growth</t>
  </si>
  <si>
    <t xml:space="preserve">CORRELATION IN USE</t>
  </si>
  <si>
    <t xml:space="preserve">Set equal to the estimated correlation, so the model reproduces the OLS slope. It is exposed separately because the correlation is the part of beta the sample cannot pin down (p = 0.116 on ten observations), whereas the two standard deviations are estimated adequately. A disclosure band of -0.35 to -0.70 is defensible.</t>
  </si>
  <si>
    <t xml:space="preserve">beta IN USE  =  correlation x sd(D probit NPLR) / sd(GDP growth)</t>
  </si>
  <si>
    <t xml:space="preserve">Scenario shifts at the selected horizon</t>
  </si>
  <si>
    <t xml:space="preserve">GDP deviation (%)</t>
  </si>
  <si>
    <t xml:space="preserve">GDP deviation (fraction)</t>
  </si>
  <si>
    <t xml:space="preserve">macro_shift (probit, before macro_beta)</t>
  </si>
  <si>
    <t xml:space="preserve">Sign convention: beta is negative and a GDP deviation is negative, so the product is POSITIVE and raises the probit, i.e. raises PD. Current Policies carries a zero TRANSITION deviation by construction, so it has a zero macro shift here; its physical GDP damage is not modelled.</t>
  </si>
  <si>
    <t xml:space="preserve">Scale reference</t>
  </si>
  <si>
    <t xml:space="preserve">One standard deviation of Oman GDP growth</t>
  </si>
  <si>
    <t xml:space="preserve">Net Zero 2050: deviation in standard deviations</t>
  </si>
  <si>
    <t xml:space="preserve">Delayed Transition: deviation in standard deviations</t>
  </si>
  <si>
    <t xml:space="preserve">Current Policies: deviation in standard deviations</t>
  </si>
  <si>
    <t xml:space="preserve">Fragmented World: deviation in standard deviations</t>
  </si>
  <si>
    <t xml:space="preserve">Expressing the scenario in standard deviations communicates far better to a credit committee than a regression p-value, and makes the modesty of the transition macro shock explicit.</t>
  </si>
  <si>
    <t xml:space="preserve">Master rating scale</t>
  </si>
  <si>
    <t xml:space="preserve">ILLUSTRATIVE SAMPLE. Replace column C with the bank's master scale; the whole workbook recalculates.</t>
  </si>
  <si>
    <t xml:space="preserve">Ladder typical of a 7-grade wholesale master scale. Demonstration only.</t>
  </si>
  <si>
    <t xml:space="preserve">UNRESOLVED: the workbook treats these as point-in-time PDs, which is what an IFRS 9 ECL requires. If the bank's master scale is through-the-cycle, a TTC-to-PIT step is needed before the scenario shift.</t>
  </si>
  <si>
    <t xml:space="preserve">Source register</t>
  </si>
  <si>
    <t xml:space="preserve">Cell reference</t>
  </si>
  <si>
    <t xml:space="preserve">NGFS quadrant mapping and warming</t>
  </si>
  <si>
    <t xml:space="preserve">Scenario_Mapping B6:D9</t>
  </si>
  <si>
    <t xml:space="preserve">All four warming figures match the source.</t>
  </si>
  <si>
    <t xml:space="preserve">NGFS shadow carbon price</t>
  </si>
  <si>
    <t xml:space="preserve">NGFS_CarbonPrice C6:F9</t>
  </si>
  <si>
    <t xml:space="preserve">NGFS Phase V, IIASA Scenario Explorer</t>
  </si>
  <si>
    <t xml:space="preserve">US$2010/tCO2, global weighted. Net Zero 2035 verified at 294. Other cells chart-read.</t>
  </si>
  <si>
    <t xml:space="preserve">PART VERIFIED</t>
  </si>
  <si>
    <t xml:space="preserve">Transition GDP deviation</t>
  </si>
  <si>
    <t xml:space="preserve">Scenario_Mapping D20:G23</t>
  </si>
  <si>
    <t xml:space="preserve">NGFS Phase V, NiGEM NGFS v1.23.2</t>
  </si>
  <si>
    <t xml:space="preserve">Net Zero and Delayed Transition plausible against the published chart and corroborated by ECB OP 281. Fragmented World unverifiable.</t>
  </si>
  <si>
    <t xml:space="preserve">US GDP deflator</t>
  </si>
  <si>
    <t xml:space="preserve">Scenario_Mapping C15</t>
  </si>
  <si>
    <t xml:space="preserve">US Bureau of Economic Analysis</t>
  </si>
  <si>
    <t xml:space="preserve">Implicit price deflator for GDP, target year over 2010.</t>
  </si>
  <si>
    <t xml:space="preserve">TO VERIFY</t>
  </si>
  <si>
    <t xml:space="preserve">Oman sector GVA</t>
  </si>
  <si>
    <t xml:space="preserve">Sector_Master E8:E17</t>
  </si>
  <si>
    <t xml:space="preserve">UN SNA Table 2.4, Oman, value added by industry at basic prices, 2023 current prices</t>
  </si>
  <si>
    <t xml:space="preserve">Sums exactly to 41,963.9 OMR m; net of FISIM and taxes this gives 40,716.9, matching published 2023 GDP of about RO 40.7bn.</t>
  </si>
  <si>
    <t xml:space="preserve">Split of ISIC B</t>
  </si>
  <si>
    <t xml:space="preserve">Sector_Master E9:E10</t>
  </si>
  <si>
    <t xml:space="preserve">NCSI GDP by economic activity</t>
  </si>
  <si>
    <t xml:space="preserve">Non-oil Mining 205.8 OMR m (2023). Residual is oil and gas extraction.</t>
  </si>
  <si>
    <t xml:space="preserve">Oman sector emissions</t>
  </si>
  <si>
    <t xml:space="preserve">Emissions_Allocation D6:D11</t>
  </si>
  <si>
    <t xml:space="preserve">All-gas CO2e, Scope 1, territorial, 2024. Buildings figure flagged as implausible.</t>
  </si>
  <si>
    <t xml:space="preserve">Emissions_Allocation D14</t>
  </si>
  <si>
    <t xml:space="preserve">EDGAR</t>
  </si>
  <si>
    <t xml:space="preserve">132.27 MtCO2e, about 25 tCO2e per head. High but consistent with Oman's position among the highest per-capita emitters.</t>
  </si>
  <si>
    <t xml:space="preserve">PLAUSIBLE</t>
  </si>
  <si>
    <t xml:space="preserve">EDGAR to sector allocation shares</t>
  </si>
  <si>
    <t xml:space="preserve">Emissions_Allocation F6:P12</t>
  </si>
  <si>
    <t xml:space="preserve">Four rows carry judgement: industrial combustion, transport, buildings, and the residual. Replace with an EDGAR sub-sector download or an ISIC-basis account from Eora, EXIOBASE or GTAP.</t>
  </si>
  <si>
    <t xml:space="preserve">Pass-through by sector</t>
  </si>
  <si>
    <t xml:space="preserve">Sector_Master I8:I17</t>
  </si>
  <si>
    <t xml:space="preserve">Analyst judgement on trade exposure, informed by Cludius et al. (2020), Sijm et al. (2006), Alexeeva-Talebi (2011)</t>
  </si>
  <si>
    <t xml:space="preserve">Rationale recorded per sector in column K. Base rate 45% for an unassessed sector.</t>
  </si>
  <si>
    <t xml:space="preserve">Sector_Master J8:J17</t>
  </si>
  <si>
    <t xml:space="preserve">Bank input, default 1.00</t>
  </si>
  <si>
    <t xml:space="preserve">Differentiation needs sector-level default history.</t>
  </si>
  <si>
    <t xml:space="preserve">INPUT</t>
  </si>
  <si>
    <t xml:space="preserve">EU median firm baseline PD</t>
  </si>
  <si>
    <t xml:space="preserve">EU_k_Calibration C5</t>
  </si>
  <si>
    <t xml:space="preserve">ECB OP 281, Chart 31 panel b</t>
  </si>
  <si>
    <t xml:space="preserve">Median-firm series runs 1.9% to 2.4% over 2020-2050.</t>
  </si>
  <si>
    <t xml:space="preserve">EU median firm PD response</t>
  </si>
  <si>
    <t xml:space="preserve">EU_k_Calibration C6:C7</t>
  </si>
  <si>
    <t xml:space="preserve">ECB OP 281, Section 5.3</t>
  </si>
  <si>
    <t xml:space="preserve">+0.5% relative transition-only; +2.5% relative disorderly at 2050. Both are relative changes, not percentage points.</t>
  </si>
  <si>
    <t xml:space="preserve">EU carbon cost scope</t>
  </si>
  <si>
    <t xml:space="preserve">EU_k_Calibration</t>
  </si>
  <si>
    <t xml:space="preserve">ECB OP 281, Section 5.1</t>
  </si>
  <si>
    <t xml:space="preserve">Flat carbon tax on Scope 1 direct emissions into operating expenses; Scope 3 drives revenues separately.</t>
  </si>
  <si>
    <t xml:space="preserve">EU_k_Calibration C45</t>
  </si>
  <si>
    <t xml:space="preserve">Zero: no cost relief in the ECB cost channel.</t>
  </si>
  <si>
    <t xml:space="preserve">EU27 total GHG and GVA</t>
  </si>
  <si>
    <t xml:space="preserve">EU_k_Calibration C21, C23</t>
  </si>
  <si>
    <t xml:space="preserve">European Environment Agency; Eurostat nama_10_a10</t>
  </si>
  <si>
    <t xml:space="preserve">Inputs for the symmetric intensity route. Match the two reporting years.</t>
  </si>
  <si>
    <t xml:space="preserve">Median to average intensity ratio</t>
  </si>
  <si>
    <t xml:space="preserve">EU_k_Calibration C25</t>
  </si>
  <si>
    <t xml:space="preserve">ECB OP 281, Chart 12</t>
  </si>
  <si>
    <t xml:space="preserve">Micro about 600 and large about 1,100 tCO2e/EURm; large firms produce about 90% of emissions.</t>
  </si>
  <si>
    <t xml:space="preserve">Anchor carbon price</t>
  </si>
  <si>
    <t xml:space="preserve">EU_k_Calibration C42</t>
  </si>
  <si>
    <t xml:space="preserve">Assumption</t>
  </si>
  <si>
    <t xml:space="preserve">The ECB exercise uses NGFS PHASE I scenarios, so a Phase I orderly-transition price is required, not a Phase V price.</t>
  </si>
  <si>
    <t xml:space="preserve">ASSUMPTION</t>
  </si>
  <si>
    <t xml:space="preserve">Oman NPL ratio 2014-2024</t>
  </si>
  <si>
    <t xml:space="preserve">Regression_Data C6:C16</t>
  </si>
  <si>
    <t xml:space="preserve">As entered in v2, no citation recorded</t>
  </si>
  <si>
    <t xml:space="preserve">Trace to the CBO Annual Report or Financial Stability Report.</t>
  </si>
  <si>
    <t xml:space="preserve">Oman real GDP growth</t>
  </si>
  <si>
    <t xml:space="preserve">Regression_Data F6:F16</t>
  </si>
  <si>
    <t xml:space="preserve">Economist Intelligence Unit, series DGDP</t>
  </si>
  <si>
    <t xml:space="preserve">Source and extract date present in the v2 file.</t>
  </si>
  <si>
    <t xml:space="preserve">Selected regression coefficients</t>
  </si>
  <si>
    <t xml:space="preserve">Macro_Shift C5:C8</t>
  </si>
  <si>
    <t xml:space="preserve">Estimated on Regression_Data</t>
  </si>
  <si>
    <t xml:space="preserve">Reproduced live by SLOPE, CORREL, STDEV; Quality_Checks item 13 confirms agreement.</t>
  </si>
  <si>
    <t xml:space="preserve">RatingGrades C6:C12</t>
  </si>
  <si>
    <t xml:space="preserve">Illustrative sample</t>
  </si>
  <si>
    <t xml:space="preserve">Replace with the bank's master scale.</t>
  </si>
  <si>
    <t xml:space="preserve">SAMPLE</t>
  </si>
  <si>
    <t xml:space="preserve">Sector_Master C5</t>
  </si>
  <si>
    <t xml:space="preserve">Fixed at 2.6008 since 1986.</t>
  </si>
  <si>
    <t xml:space="preserve">Emissions intensity and denominator indices</t>
  </si>
  <si>
    <t xml:space="preserve">Dynamic_Adjust C6:D9</t>
  </si>
  <si>
    <t xml:space="preserve">Sources named on the tab.</t>
  </si>
  <si>
    <t xml:space="preserve">Assumption register</t>
  </si>
  <si>
    <t xml:space="preserve">Rebuilt from the live cells, with the governing cell reference against every entry.</t>
  </si>
  <si>
    <t xml:space="preserve">Value / status</t>
  </si>
  <si>
    <t xml:space="preserve">Rationale and limitation</t>
  </si>
  <si>
    <t xml:space="preserve">A01</t>
  </si>
  <si>
    <t xml:space="preserve">Pure probit shift</t>
  </si>
  <si>
    <t xml:space="preserve">StressedPD_Sector G29:J98</t>
  </si>
  <si>
    <t xml:space="preserve">NORMSDIST(NORMSINV(PD0)+push+macro)</t>
  </si>
  <si>
    <t xml:space="preserve">Returns PD0 exactly at zero stress. The conditional-Vasicek form used in v2 maps an unconditional PD to a conditional PD and returns values BELOW baseline at zero stress.</t>
  </si>
  <si>
    <t xml:space="preserve">A02</t>
  </si>
  <si>
    <t xml:space="preserve">rho not used in the PD channel</t>
  </si>
  <si>
    <t xml:space="preserve">n/a</t>
  </si>
  <si>
    <t xml:space="preserve">Removed</t>
  </si>
  <si>
    <t xml:space="preserve">Basel CRE31.5 correlations are prudential parameters for a 99.9% capital quantile, not empirical asset correlations for scenario translation. Not required under a probit shift.</t>
  </si>
  <si>
    <t xml:space="preserve">A03</t>
  </si>
  <si>
    <t xml:space="preserve">Transition risk only</t>
  </si>
  <si>
    <t xml:space="preserve">whole model</t>
  </si>
  <si>
    <t xml:space="preserve">Design</t>
  </si>
  <si>
    <t xml:space="preserve">No physical risk in PD or LGD, no customer layer, no ECL.</t>
  </si>
  <si>
    <t xml:space="preserve">A04</t>
  </si>
  <si>
    <t xml:space="preserve">Denominator is GVA</t>
  </si>
  <si>
    <t xml:space="preserve">Sector_Master C4</t>
  </si>
  <si>
    <t xml:space="preserve">GVA on both sides</t>
  </si>
  <si>
    <t xml:space="preserve">Oman publishes value added by activity but not turnover; output at basic prices needs the supply-use table, which is not public. GVA is the only denominator that exists for every sector. Switch C4 to TURNOVER and populate column G if the bank obtains it.</t>
  </si>
  <si>
    <t xml:space="preserve">A05</t>
  </si>
  <si>
    <t xml:space="preserve">EU intensity built symmetrically</t>
  </si>
  <si>
    <t xml:space="preserve">EU_k_Calibration C21:C26</t>
  </si>
  <si>
    <t xml:space="preserve">Route 1</t>
  </si>
  <si>
    <t xml:space="preserve">EU national Scope 1 emissions over EU GVA, exactly as the Oman intensity is built, so the turnover conversion never enters. One documented adjustment for median firm versus economy average.</t>
  </si>
  <si>
    <t xml:space="preserve">A06</t>
  </si>
  <si>
    <t xml:space="preserve">0.57</t>
  </si>
  <si>
    <t xml:space="preserve">From OP 281 Chart 12. Without it the calibration would attribute the emissions of the largest firms to the median one.</t>
  </si>
  <si>
    <t xml:space="preserve">A07</t>
  </si>
  <si>
    <t xml:space="preserve">k transfers from the EU to Oman unchanged</t>
  </si>
  <si>
    <t xml:space="preserve">EU_k_Calibration C50</t>
  </si>
  <si>
    <t xml:space="preserve">Applied to Oman cost ratios</t>
  </si>
  <si>
    <t xml:space="preserve">Holding the cost ratio constant, the probit PD response to a cost shock is assumed the same in both economies. Not testable on Omani data. The largest transfer assumption in the model.</t>
  </si>
  <si>
    <t xml:space="preserve">A08</t>
  </si>
  <si>
    <t xml:space="preserve">k is a scale, not a shape</t>
  </si>
  <si>
    <t xml:space="preserve">LN(1+x) imposed</t>
  </si>
  <si>
    <t xml:space="preserve">One anchor pair identifies a multiplier only. Three or more anchors would give the curvature support.</t>
  </si>
  <si>
    <t xml:space="preserve">A09</t>
  </si>
  <si>
    <t xml:space="preserve">Anchor carbon price vintage</t>
  </si>
  <si>
    <t xml:space="preserve">The ECB exercise uses NGFS Phase I, so a Phase I price is required. v2 paired the ECB PD response with a Phase V price.</t>
  </si>
  <si>
    <t xml:space="preserve">A10</t>
  </si>
  <si>
    <t xml:space="preserve">No abatement response</t>
  </si>
  <si>
    <t xml:space="preserve">StressedPD_Sector G16:J25</t>
  </si>
  <si>
    <t xml:space="preserve">Full current emissions charged</t>
  </si>
  <si>
    <t xml:space="preserve">The NGFS shadow price is a marginal abatement cost, not a tax bill. Conservative.</t>
  </si>
  <si>
    <t xml:space="preserve">A11</t>
  </si>
  <si>
    <t xml:space="preserve">Static intensity and denominator</t>
  </si>
  <si>
    <t xml:space="preserve">Both indices 1.00</t>
  </si>
  <si>
    <t xml:space="preserve">A12</t>
  </si>
  <si>
    <t xml:space="preserve">Households and own-account excluded</t>
  </si>
  <si>
    <t xml:space="preserve">Emissions_Allocation column P</t>
  </si>
  <si>
    <t xml:space="preserve">Excluded</t>
  </si>
  <si>
    <t xml:space="preserve">Private vehicle use and residential building energy are not attributable to a corporate borrower.</t>
  </si>
  <si>
    <t xml:space="preserve">A13</t>
  </si>
  <si>
    <t xml:space="preserve">Pass-through on trade exposure</t>
  </si>
  <si>
    <t xml:space="preserve">5% to 80%</t>
  </si>
  <si>
    <t xml:space="preserve">Rationale per sector in column K. Base rate 45%. Utilities at 80% implies the cost lands on the sovereign, so their residual risk becomes sovereign-linked, which this model does not capture.</t>
  </si>
  <si>
    <t xml:space="preserve">A14</t>
  </si>
  <si>
    <t xml:space="preserve">macro_beta 1.00 for every sector</t>
  </si>
  <si>
    <t xml:space="preserve">1.00</t>
  </si>
  <si>
    <t xml:space="preserve">Government-dependent sectors would normally exceed 1.00 because they transmit the fiscal cycle.</t>
  </si>
  <si>
    <t xml:space="preserve">A15</t>
  </si>
  <si>
    <t xml:space="preserve">Macro beta estimated in first differences</t>
  </si>
  <si>
    <t xml:space="preserve">Macro_Shift C5</t>
  </si>
  <si>
    <t xml:space="preserve">-0.952</t>
  </si>
  <si>
    <t xml:space="preserve">Only form with acceptable residual behaviour, and it maps a GDP LEVEL deviation onto the probit correctly by construction.</t>
  </si>
  <si>
    <t xml:space="preserve">A16</t>
  </si>
  <si>
    <t xml:space="preserve">Correlation is the exposed lever</t>
  </si>
  <si>
    <t xml:space="preserve">Macro_Shift C9</t>
  </si>
  <si>
    <t xml:space="preserve">-0.529</t>
  </si>
  <si>
    <t xml:space="preserve">beta = correlation x sd(D probit NPLR) / sd(GDP growth). The standard deviations are estimated adequately on ten observations; the correlation is not.</t>
  </si>
  <si>
    <t xml:space="preserve">A17</t>
  </si>
  <si>
    <t xml:space="preserve">Only the deviation enters</t>
  </si>
  <si>
    <t xml:space="preserve">Macro_Shift E15:E18</t>
  </si>
  <si>
    <t xml:space="preserve">Deviation only</t>
  </si>
  <si>
    <t xml:space="preserve">The intercept and any baseline growth assumption cancel.</t>
  </si>
  <si>
    <t xml:space="preserve">A18</t>
  </si>
  <si>
    <t xml:space="preserve">Gross NPL ratio proxies the default rate</t>
  </si>
  <si>
    <t xml:space="preserve">Stock proxy for a flow</t>
  </si>
  <si>
    <t xml:space="preserve">The 2020 observation is a write-off-policy artefact. Replacing it with a default flow rate is the highest-value single improvement.</t>
  </si>
  <si>
    <t xml:space="preserve">A19</t>
  </si>
  <si>
    <t xml:space="preserve">Headline GDP growth is the regressor</t>
  </si>
  <si>
    <t xml:space="preserve">EIU real GDP</t>
  </si>
  <si>
    <t xml:space="preserve">Non-oil GDP and Brent fit better but NGFS produces a TOTAL GDP deviation, so either would need a bridge equation.</t>
  </si>
  <si>
    <t xml:space="preserve">A20</t>
  </si>
  <si>
    <t xml:space="preserve">Some overlap between the push and the macro leg</t>
  </si>
  <si>
    <t xml:space="preserve">EU_k_Calibration, Macro_Shift</t>
  </si>
  <si>
    <t xml:space="preserve">Accepted</t>
  </si>
  <si>
    <t xml:space="preserve">ECB stressed PDs already embed the macro response to carbon pricing. At current values the macro leg is small relative to the push.</t>
  </si>
  <si>
    <t xml:space="preserve">A21</t>
  </si>
  <si>
    <t xml:space="preserve">Current Policies transition deviation is zero</t>
  </si>
  <si>
    <t xml:space="preserve">Scenario_Mapping F22</t>
  </si>
  <si>
    <t xml:space="preserve">0.0%</t>
  </si>
  <si>
    <t xml:space="preserve">Correct by construction. Its physical damage, the dominant risk in that scenario, is not modelled.</t>
  </si>
  <si>
    <t xml:space="preserve">A22</t>
  </si>
  <si>
    <t xml:space="preserve">Master scale PDs treated as point-in-time</t>
  </si>
  <si>
    <t xml:space="preserve">Assumed PIT</t>
  </si>
  <si>
    <t xml:space="preserve">If the scale is TTC a TTC-to-PIT step is needed first. UNRESOLVED.</t>
  </si>
  <si>
    <t xml:space="preserve">A23</t>
  </si>
  <si>
    <t xml:space="preserve">No hydrocarbon export revenue or fiscal channel</t>
  </si>
  <si>
    <t xml:space="preserve">not modelled</t>
  </si>
  <si>
    <t xml:space="preserve">OPEN</t>
  </si>
  <si>
    <t xml:space="preserve">Oman's dominant transition exposure is loss of oil and gas export revenue and the fiscal contraction that follows, not a domestic carbon tax. Largest known gap.</t>
  </si>
  <si>
    <t xml:space="preserve">A24</t>
  </si>
  <si>
    <t xml:space="preserve">GVA and emissions differ by one year</t>
  </si>
  <si>
    <t xml:space="preserve">Sector_Master, Emissions_Allocation</t>
  </si>
  <si>
    <t xml:space="preserve">GVA 2023, emissions 2024. Replacement 2024 GVA values are in the Verification log.</t>
  </si>
  <si>
    <t xml:space="preserve">A25</t>
  </si>
  <si>
    <t xml:space="preserve">k_MultiAnchor C17</t>
  </si>
  <si>
    <t xml:space="preserve">0.00 (logarithmic)</t>
  </si>
  <si>
    <t xml:space="preserve">Generalised family push = k x ((1+x)^theta - 1)/theta, with LN(1+x) at theta = 0. The ECB anchors cannot identify theta because both sit in the near-linear region. Held at 0 for continuity with v4, with the full range reported on k_MultiAnchor section E. The Omani utilities PD multiple spans 1.37x to 1.84x across that range.</t>
  </si>
  <si>
    <t xml:space="preserve">A26</t>
  </si>
  <si>
    <t xml:space="preserve">k_MultiAnchor C60</t>
  </si>
  <si>
    <t xml:space="preserve">999 (off)</t>
  </si>
  <si>
    <t xml:space="preserve">Wired but not applied. Since curvature above the calibration range cannot be estimated, a cap is the only mechanism that bounds the result for utilities and manufacturing. Set at a level the bank will defend and report both the level and the number of cells it binds on.</t>
  </si>
  <si>
    <t xml:space="preserve">A27</t>
  </si>
  <si>
    <t xml:space="preserve">Coal anchor excluded from the fit</t>
  </si>
  <si>
    <t xml:space="preserve">k_MultiAnchor rows 8-9</t>
  </si>
  <si>
    <t xml:space="preserve">Excluded, used as a check</t>
  </si>
  <si>
    <t xml:space="preserve">OP 281 states the coal-mining PD response is driven mainly by the need to fund abatement of very high Scope 3 emissions, which raises leverage. That is a different mechanism from the Scope 1 operating-cost channel this model uses, so forcing it into the fit would misattribute a leverage effect to a cost effect.</t>
  </si>
  <si>
    <t xml:space="preserve">A28</t>
  </si>
  <si>
    <t xml:space="preserve">Physical risk enters PD as a second cost ratio</t>
  </si>
  <si>
    <t xml:space="preserve">StressedPD_Sector O16:R25</t>
  </si>
  <si>
    <t xml:space="preserve">Added inside the push transform</t>
  </si>
  <si>
    <t xml:space="preserve">push = k x g(transition cost ratio + physical cost ratio). Adding the two INSIDE the concave transform rather than adding two separate pushes; separate pushes would understate the joint effect of facing both shocks at once.</t>
  </si>
  <si>
    <t xml:space="preserve">A29</t>
  </si>
  <si>
    <t xml:space="preserve">k is reused for the physical push</t>
  </si>
  <si>
    <t xml:space="preserve">StressedPD_Sector S16:V25</t>
  </si>
  <si>
    <t xml:space="preserve">Same k as transition</t>
  </si>
  <si>
    <t xml:space="preserve">k maps a cost expressed as a share of value added into a probit PD shift. A dollar of flood damage hits the income statement the same way a dollar of carbon cost does, so the same mapping applies. This avoids inventing a second, uncalibratable sensitivity. Test it by moving k on k_MultiAnchor and watching both channels move together.</t>
  </si>
  <si>
    <t xml:space="preserve">A30</t>
  </si>
  <si>
    <t xml:space="preserve">Physical damage is converted to an annual P&amp;L flow</t>
  </si>
  <si>
    <t xml:space="preserve">Physical_Hazard D55:D57</t>
  </si>
  <si>
    <t xml:space="preserve">60% of retained loss</t>
  </si>
  <si>
    <t xml:space="preserve">The carbon cost ratio is an annual flow against annual value added, so the physical cost ratio must be too. Annual average loss is already annualised, and the P&amp;L share converts asset damage into the income-statement impact that determines ability to pay.</t>
  </si>
  <si>
    <t xml:space="preserve">A31</t>
  </si>
  <si>
    <t xml:space="preserve">Channel separation between PD and LGD</t>
  </si>
  <si>
    <t xml:space="preserve">60% PD / 40% LGD</t>
  </si>
  <si>
    <t xml:space="preserve">The PD channel takes business interruption and repair expense; the LGD channel takes capital replacement and collateral loss. The two shares sum to one, so the same damage is never charged twice. If the LGD module is reattached it must use the 40% remainder, not the full loss.</t>
  </si>
  <si>
    <t xml:space="preserve">A32</t>
  </si>
  <si>
    <t xml:space="preserve">Chronic physical risk is NOT modelled</t>
  </si>
  <si>
    <t xml:space="preserve">Only ACUTE physical risk is included. Chronic damages are the dominant physical channel in NGFS, raising global GDP losses to between 7% and 15% by 2050. Excluding them means Current Policies still looks mild in absolute terms even though physical risk correctly dominates the transition channel within it.</t>
  </si>
  <si>
    <t xml:space="preserve">A33</t>
  </si>
  <si>
    <t xml:space="preserve">Exposure weights are relative, not absolute</t>
  </si>
  <si>
    <t xml:space="preserve">Physical_Exposure H6:J15</t>
  </si>
  <si>
    <t xml:space="preserve">Normalised to a mean of 1.00</t>
  </si>
  <si>
    <t xml:space="preserve">They redistribute the national annual average loss across sectors without changing its total, so an error in the weights misallocates risk between sectors but cannot inflate or deflate system-wide risk.</t>
  </si>
</sst>
</file>

<file path=xl/styles.xml><?xml version="1.0" encoding="utf-8"?>
<styleSheet xmlns="http://schemas.openxmlformats.org/spreadsheetml/2006/main">
  <numFmts count="16">
    <numFmt numFmtId="164" formatCode="General"/>
    <numFmt numFmtId="165" formatCode="0.00000"/>
    <numFmt numFmtId="166" formatCode="0"/>
    <numFmt numFmtId="167" formatCode="0.0000"/>
    <numFmt numFmtId="168" formatCode="0.000"/>
    <numFmt numFmtId="169" formatCode="0.00"/>
    <numFmt numFmtId="170" formatCode="#,##0"/>
    <numFmt numFmtId="171" formatCode="#,##0.00"/>
    <numFmt numFmtId="172" formatCode="0.0%"/>
    <numFmt numFmtId="173" formatCode="0.00%"/>
    <numFmt numFmtId="174" formatCode="0.00\x"/>
    <numFmt numFmtId="175" formatCode="0.00000%"/>
    <numFmt numFmtId="176" formatCode="0.0"/>
    <numFmt numFmtId="177" formatCode="0.000%"/>
    <numFmt numFmtId="178" formatCode="0.0000%"/>
    <numFmt numFmtId="179" formatCode="0.000000"/>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i val="true"/>
      <sz val="9"/>
      <color rgb="FF595959"/>
      <name val="Arial"/>
      <family val="0"/>
      <charset val="1"/>
    </font>
    <font>
      <sz val="10"/>
      <color rgb="FF008000"/>
      <name val="Arial"/>
      <family val="0"/>
      <charset val="1"/>
    </font>
    <font>
      <sz val="10"/>
      <color rgb="FF0000FF"/>
      <name val="Arial"/>
      <family val="0"/>
      <charset val="1"/>
    </font>
    <font>
      <b val="true"/>
      <sz val="10"/>
      <color rgb="FFC00000"/>
      <name val="Arial"/>
      <family val="0"/>
      <charset val="1"/>
    </font>
    <font>
      <b val="true"/>
      <sz val="10"/>
      <color rgb="FF006100"/>
      <name val="Arial"/>
      <family val="0"/>
      <charset val="1"/>
    </font>
    <font>
      <sz val="10"/>
      <color rgb="FF7030A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C9E"/>
        <bgColor rgb="FF333399"/>
      </patternFill>
    </fill>
    <fill>
      <patternFill patternType="solid">
        <fgColor rgb="FFFFF2CC"/>
        <bgColor rgb="FFFCE4E4"/>
      </patternFill>
    </fill>
    <fill>
      <patternFill patternType="solid">
        <fgColor rgb="FFE2EFDA"/>
        <bgColor rgb="FFE8E0F0"/>
      </patternFill>
    </fill>
    <fill>
      <patternFill patternType="solid">
        <fgColor rgb="FFFCE4E4"/>
        <bgColor rgb="FFE8E0F0"/>
      </patternFill>
    </fill>
    <fill>
      <patternFill patternType="solid">
        <fgColor rgb="FFE8E0F0"/>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3"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xf numFmtId="164" fontId="8" fillId="5" borderId="1" xfId="0" applyFont="true" applyBorder="true" applyAlignment="true" applyProtection="true">
      <alignment horizontal="general" vertical="top" textRotation="0" wrapText="true" indent="0" shrinkToFit="false"/>
      <protection locked="true" hidden="false"/>
    </xf>
    <xf numFmtId="164" fontId="8" fillId="6"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6" fontId="8" fillId="0" borderId="1" xfId="0" applyFont="true" applyBorder="true" applyAlignment="true" applyProtection="true">
      <alignment horizontal="general" vertical="bottom" textRotation="0" wrapText="false" indent="0" shrinkToFit="false"/>
      <protection locked="true" hidden="false"/>
    </xf>
    <xf numFmtId="166" fontId="10" fillId="0" borderId="1" xfId="0" applyFont="true" applyBorder="true" applyAlignment="true" applyProtection="true">
      <alignment horizontal="general" vertical="bottom" textRotation="0" wrapText="false" indent="0" shrinkToFit="false"/>
      <protection locked="true" hidden="false"/>
    </xf>
    <xf numFmtId="167" fontId="10" fillId="0" borderId="1" xfId="0" applyFont="true" applyBorder="true" applyAlignment="true" applyProtection="true">
      <alignment horizontal="general" vertical="bottom" textRotation="0" wrapText="false" indent="0" shrinkToFit="false"/>
      <protection locked="true" hidden="false"/>
    </xf>
    <xf numFmtId="168" fontId="10" fillId="0" borderId="1" xfId="0" applyFont="true" applyBorder="true" applyAlignment="true" applyProtection="true">
      <alignment horizontal="general" vertical="bottom" textRotation="0" wrapText="false" indent="0" shrinkToFit="false"/>
      <protection locked="true" hidden="false"/>
    </xf>
    <xf numFmtId="169" fontId="10"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70" fontId="10" fillId="0" borderId="1" xfId="0" applyFont="true" applyBorder="true" applyAlignment="true" applyProtection="true">
      <alignment horizontal="general" vertical="bottom" textRotation="0" wrapText="false" indent="0" shrinkToFit="false"/>
      <protection locked="true" hidden="false"/>
    </xf>
    <xf numFmtId="170" fontId="6" fillId="0" borderId="1" xfId="0" applyFont="true" applyBorder="true" applyAlignment="true" applyProtection="true">
      <alignment horizontal="general" vertical="bottom" textRotation="0" wrapText="false" indent="0" shrinkToFit="false"/>
      <protection locked="true" hidden="false"/>
    </xf>
    <xf numFmtId="165" fontId="10" fillId="0" borderId="1" xfId="0" applyFont="true" applyBorder="true" applyAlignment="true" applyProtection="true">
      <alignment horizontal="general" vertical="bottom" textRotation="0" wrapText="false" indent="0" shrinkToFit="false"/>
      <protection locked="true" hidden="false"/>
    </xf>
    <xf numFmtId="171" fontId="10" fillId="0" borderId="1" xfId="0" applyFont="true" applyBorder="true" applyAlignment="true" applyProtection="true">
      <alignment horizontal="general" vertical="bottom" textRotation="0" wrapText="false" indent="0" shrinkToFit="false"/>
      <protection locked="true" hidden="false"/>
    </xf>
    <xf numFmtId="172" fontId="10"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73" fontId="10" fillId="0" borderId="1" xfId="0" applyFont="true" applyBorder="true" applyAlignment="true" applyProtection="true">
      <alignment horizontal="general" vertical="bottom" textRotation="0" wrapText="false" indent="0" shrinkToFit="false"/>
      <protection locked="true" hidden="false"/>
    </xf>
    <xf numFmtId="173" fontId="6" fillId="0" borderId="1" xfId="0" applyFont="true" applyBorder="true" applyAlignment="true" applyProtection="true">
      <alignment horizontal="general" vertical="bottom" textRotation="0" wrapText="false" indent="0" shrinkToFit="false"/>
      <protection locked="true" hidden="false"/>
    </xf>
    <xf numFmtId="174" fontId="6" fillId="0" borderId="1" xfId="0" applyFont="true" applyBorder="tru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75" fontId="8" fillId="0" borderId="1" xfId="0" applyFont="true" applyBorder="true" applyAlignment="true" applyProtection="true">
      <alignment horizontal="general"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false" indent="0" shrinkToFit="false"/>
      <protection locked="true" hidden="false"/>
    </xf>
    <xf numFmtId="172" fontId="6" fillId="0" borderId="1" xfId="0" applyFont="true" applyBorder="true" applyAlignment="true" applyProtection="true">
      <alignment horizontal="general" vertical="bottom" textRotation="0" wrapText="false" indent="0" shrinkToFit="false"/>
      <protection locked="true" hidden="false"/>
    </xf>
    <xf numFmtId="164" fontId="11" fillId="4"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71" fontId="6" fillId="0" borderId="1" xfId="0" applyFont="true" applyBorder="true" applyAlignment="true" applyProtection="true">
      <alignment horizontal="general" vertical="bottom" textRotation="0" wrapText="false" indent="0" shrinkToFit="false"/>
      <protection locked="true" hidden="false"/>
    </xf>
    <xf numFmtId="169" fontId="11" fillId="4" borderId="1" xfId="0" applyFont="true" applyBorder="true" applyAlignment="true" applyProtection="true">
      <alignment horizontal="general" vertical="bottom" textRotation="0" wrapText="false" indent="0" shrinkToFit="false"/>
      <protection locked="true" hidden="false"/>
    </xf>
    <xf numFmtId="172" fontId="11" fillId="0" borderId="1" xfId="0" applyFont="true" applyBorder="true" applyAlignment="true" applyProtection="true">
      <alignment horizontal="general" vertical="bottom" textRotation="0" wrapText="false" indent="0" shrinkToFit="false"/>
      <protection locked="true" hidden="false"/>
    </xf>
    <xf numFmtId="169" fontId="11" fillId="0" borderId="1" xfId="0" applyFont="true" applyBorder="true" applyAlignment="true" applyProtection="true">
      <alignment horizontal="general" vertical="bottom" textRotation="0" wrapText="false" indent="0" shrinkToFit="false"/>
      <protection locked="true" hidden="false"/>
    </xf>
    <xf numFmtId="171" fontId="8" fillId="0" borderId="1" xfId="0" applyFont="true" applyBorder="true" applyAlignment="true" applyProtection="true">
      <alignment horizontal="general" vertical="bottom" textRotation="0" wrapText="false" indent="0" shrinkToFit="false"/>
      <protection locked="true" hidden="false"/>
    </xf>
    <xf numFmtId="171" fontId="11" fillId="4" borderId="1" xfId="0" applyFont="true" applyBorder="true" applyAlignment="true" applyProtection="true">
      <alignment horizontal="general" vertical="bottom" textRotation="0" wrapText="false" indent="0" shrinkToFit="false"/>
      <protection locked="true" hidden="false"/>
    </xf>
    <xf numFmtId="169" fontId="6" fillId="0" borderId="1" xfId="0" applyFont="true" applyBorder="true" applyAlignment="true" applyProtection="true">
      <alignment horizontal="general" vertical="bottom" textRotation="0" wrapText="false" indent="0" shrinkToFit="false"/>
      <protection locked="true" hidden="false"/>
    </xf>
    <xf numFmtId="171" fontId="6" fillId="4" borderId="1" xfId="0" applyFont="true" applyBorder="true" applyAlignment="true" applyProtection="true">
      <alignment horizontal="general" vertical="bottom" textRotation="0" wrapText="false" indent="0" shrinkToFit="false"/>
      <protection locked="true" hidden="false"/>
    </xf>
    <xf numFmtId="176" fontId="11" fillId="0" borderId="1" xfId="0" applyFont="true" applyBorder="true" applyAlignment="true" applyProtection="true">
      <alignment horizontal="general" vertical="bottom" textRotation="0" wrapText="false" indent="0" shrinkToFit="false"/>
      <protection locked="true" hidden="false"/>
    </xf>
    <xf numFmtId="166" fontId="7" fillId="3" borderId="1" xfId="0" applyFont="true" applyBorder="true" applyAlignment="true" applyProtection="true">
      <alignment horizontal="center" vertical="center" textRotation="0" wrapText="true" indent="0" shrinkToFit="false"/>
      <protection locked="true" hidden="false"/>
    </xf>
    <xf numFmtId="170" fontId="11" fillId="4" borderId="1" xfId="0" applyFont="true" applyBorder="true" applyAlignment="true" applyProtection="true">
      <alignment horizontal="general" vertical="bottom" textRotation="0" wrapText="false" indent="0" shrinkToFit="false"/>
      <protection locked="true" hidden="false"/>
    </xf>
    <xf numFmtId="176" fontId="6" fillId="0" borderId="1" xfId="0" applyFont="true" applyBorder="true" applyAlignment="true" applyProtection="true">
      <alignment horizontal="general" vertical="bottom" textRotation="0" wrapText="false" indent="0" shrinkToFit="false"/>
      <protection locked="true" hidden="false"/>
    </xf>
    <xf numFmtId="166" fontId="6" fillId="0" borderId="1" xfId="0" applyFont="true" applyBorder="true" applyAlignment="true" applyProtection="true">
      <alignment horizontal="general" vertical="bottom" textRotation="0" wrapText="false" indent="0" shrinkToFit="false"/>
      <protection locked="true" hidden="false"/>
    </xf>
    <xf numFmtId="168" fontId="11" fillId="4" borderId="1" xfId="0" applyFont="true" applyBorder="true" applyAlignment="true" applyProtection="true">
      <alignment horizontal="general" vertical="bottom" textRotation="0" wrapText="false" indent="0" shrinkToFit="false"/>
      <protection locked="true" hidden="false"/>
    </xf>
    <xf numFmtId="169" fontId="6" fillId="4" borderId="1" xfId="0" applyFont="true" applyBorder="true" applyAlignment="true" applyProtection="true">
      <alignment horizontal="general" vertical="bottom" textRotation="0" wrapText="false" indent="0" shrinkToFit="false"/>
      <protection locked="true" hidden="false"/>
    </xf>
    <xf numFmtId="166" fontId="11" fillId="0" borderId="1" xfId="0" applyFont="true" applyBorder="true" applyAlignment="true" applyProtection="true">
      <alignment horizontal="general" vertical="bottom" textRotation="0" wrapText="false" indent="0" shrinkToFit="false"/>
      <protection locked="true" hidden="false"/>
    </xf>
    <xf numFmtId="170" fontId="8" fillId="0" borderId="1" xfId="0" applyFont="true" applyBorder="true" applyAlignment="true" applyProtection="true">
      <alignment horizontal="general" vertical="bottom" textRotation="0" wrapText="false" indent="0" shrinkToFit="false"/>
      <protection locked="true" hidden="false"/>
    </xf>
    <xf numFmtId="177" fontId="8" fillId="0" borderId="1" xfId="0" applyFont="true" applyBorder="true" applyAlignment="true" applyProtection="true">
      <alignment horizontal="general" vertical="bottom" textRotation="0" wrapText="false" indent="0" shrinkToFit="false"/>
      <protection locked="true" hidden="false"/>
    </xf>
    <xf numFmtId="177" fontId="10" fillId="0" borderId="1" xfId="0" applyFont="true" applyBorder="true" applyAlignment="true" applyProtection="true">
      <alignment horizontal="general" vertical="bottom" textRotation="0" wrapText="false" indent="0" shrinkToFit="false"/>
      <protection locked="true" hidden="false"/>
    </xf>
    <xf numFmtId="177" fontId="11" fillId="4" borderId="1" xfId="0" applyFont="true" applyBorder="true" applyAlignment="true" applyProtection="true">
      <alignment horizontal="general" vertical="bottom" textRotation="0" wrapText="false" indent="0" shrinkToFit="false"/>
      <protection locked="true" hidden="false"/>
    </xf>
    <xf numFmtId="176" fontId="10" fillId="0" borderId="1" xfId="0" applyFont="true" applyBorder="true" applyAlignment="true" applyProtection="true">
      <alignment horizontal="general" vertical="bottom" textRotation="0" wrapText="false" indent="0" shrinkToFit="false"/>
      <protection locked="true" hidden="false"/>
    </xf>
    <xf numFmtId="168" fontId="6" fillId="0" borderId="1" xfId="0" applyFont="true" applyBorder="true" applyAlignment="true" applyProtection="true">
      <alignment horizontal="general" vertical="bottom" textRotation="0" wrapText="false" indent="0" shrinkToFit="false"/>
      <protection locked="true" hidden="false"/>
    </xf>
    <xf numFmtId="176" fontId="11" fillId="4" borderId="1" xfId="0" applyFont="true" applyBorder="true" applyAlignment="true" applyProtection="true">
      <alignment horizontal="general" vertical="bottom" textRotation="0" wrapText="false" indent="0" shrinkToFit="false"/>
      <protection locked="true" hidden="false"/>
    </xf>
    <xf numFmtId="172" fontId="11" fillId="4" borderId="1" xfId="0" applyFont="true" applyBorder="true" applyAlignment="true" applyProtection="true">
      <alignment horizontal="general" vertical="bottom" textRotation="0" wrapText="false" indent="0" shrinkToFit="false"/>
      <protection locked="true" hidden="false"/>
    </xf>
    <xf numFmtId="168" fontId="8" fillId="0" borderId="1" xfId="0" applyFont="true" applyBorder="true" applyAlignment="true" applyProtection="true">
      <alignment horizontal="general" vertical="bottom" textRotation="0" wrapText="false" indent="0" shrinkToFit="false"/>
      <protection locked="true" hidden="false"/>
    </xf>
    <xf numFmtId="178" fontId="6" fillId="0" borderId="1" xfId="0" applyFont="true" applyBorder="true" applyAlignment="true" applyProtection="true">
      <alignment horizontal="general" vertical="bottom" textRotation="0" wrapText="false" indent="0" shrinkToFit="false"/>
      <protection locked="true" hidden="false"/>
    </xf>
    <xf numFmtId="178" fontId="8" fillId="0" borderId="1" xfId="0" applyFont="true" applyBorder="true" applyAlignment="true" applyProtection="true">
      <alignment horizontal="general" vertical="bottom" textRotation="0" wrapText="false" indent="0" shrinkToFit="false"/>
      <protection locked="true" hidden="false"/>
    </xf>
    <xf numFmtId="173" fontId="11" fillId="0" borderId="1" xfId="0" applyFont="true" applyBorder="true" applyAlignment="true" applyProtection="true">
      <alignment horizontal="general" vertical="bottom" textRotation="0" wrapText="false" indent="0" shrinkToFit="false"/>
      <protection locked="true" hidden="false"/>
    </xf>
    <xf numFmtId="179" fontId="8" fillId="0" borderId="1" xfId="0" applyFont="true" applyBorder="true" applyAlignment="true" applyProtection="true">
      <alignment horizontal="general" vertical="bottom" textRotation="0" wrapText="false" indent="0" shrinkToFit="false"/>
      <protection locked="true" hidden="false"/>
    </xf>
    <xf numFmtId="166" fontId="11" fillId="4" borderId="1" xfId="0" applyFont="true" applyBorder="true" applyAlignment="true" applyProtection="true">
      <alignment horizontal="general" vertical="bottom" textRotation="0" wrapText="false" indent="0" shrinkToFit="false"/>
      <protection locked="true" hidden="false"/>
    </xf>
    <xf numFmtId="167" fontId="11" fillId="4" borderId="1" xfId="0" applyFont="true" applyBorder="true" applyAlignment="true" applyProtection="true">
      <alignment horizontal="general" vertical="bottom" textRotation="0" wrapText="false" indent="0" shrinkToFit="false"/>
      <protection locked="true" hidden="false"/>
    </xf>
    <xf numFmtId="179" fontId="6" fillId="0" borderId="1" xfId="0" applyFont="true" applyBorder="true" applyAlignment="true" applyProtection="true">
      <alignment horizontal="general"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79" fontId="10" fillId="0" borderId="1" xfId="0" applyFont="true" applyBorder="true" applyAlignment="true" applyProtection="true">
      <alignment horizontal="general" vertical="bottom" textRotation="0" wrapText="false" indent="0" shrinkToFit="false"/>
      <protection locked="true" hidden="false"/>
    </xf>
    <xf numFmtId="176" fontId="8" fillId="0" borderId="1" xfId="0" applyFont="true" applyBorder="true" applyAlignment="true" applyProtection="true">
      <alignment horizontal="general" vertical="bottom" textRotation="0" wrapText="false" indent="0" shrinkToFit="false"/>
      <protection locked="true" hidden="false"/>
    </xf>
    <xf numFmtId="177" fontId="6"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general" vertical="bottom" textRotation="0" wrapText="false" indent="0" shrinkToFit="false"/>
      <protection locked="true" hidden="false"/>
    </xf>
    <xf numFmtId="164" fontId="13" fillId="5" borderId="1" xfId="0" applyFont="true" applyBorder="true" applyAlignment="true" applyProtection="true">
      <alignment horizontal="general" vertical="bottom" textRotation="0" wrapText="false" indent="0" shrinkToFit="false"/>
      <protection locked="true" hidden="false"/>
    </xf>
    <xf numFmtId="168" fontId="13" fillId="5" borderId="1" xfId="0" applyFont="true" applyBorder="true" applyAlignment="true" applyProtection="true">
      <alignment horizontal="general" vertical="bottom" textRotation="0" wrapText="false" indent="0" shrinkToFit="false"/>
      <protection locked="true" hidden="false"/>
    </xf>
    <xf numFmtId="164" fontId="13" fillId="5" borderId="1" xfId="0" applyFont="true" applyBorder="true" applyAlignment="true" applyProtection="true">
      <alignment horizontal="general" vertical="top" textRotation="0" wrapText="tru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4" fontId="8" fillId="7" borderId="1" xfId="0" applyFont="true" applyBorder="true" applyAlignment="true" applyProtection="true">
      <alignment horizontal="general" vertical="bottom" textRotation="0" wrapText="false" indent="0" shrinkToFit="false"/>
      <protection locked="true" hidden="false"/>
    </xf>
    <xf numFmtId="173" fontId="14" fillId="7"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7030A0"/>
      <rgbColor rgb="FFFFF2CC"/>
      <rgbColor rgb="FFCCFFFF"/>
      <rgbColor rgb="FF660066"/>
      <rgbColor rgb="FFFF8080"/>
      <rgbColor rgb="FF2E5C9E"/>
      <rgbColor rgb="FFE8E0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C55A11"/>
      <rgbColor rgb="FF595959"/>
      <rgbColor rgb="FF969696"/>
      <rgbColor rgb="FF1F3864"/>
      <rgbColor rgb="FF339966"/>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I19"/>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0"/>
    <col collapsed="false" customWidth="true" hidden="false" outlineLevel="0" max="3" min="3" style="1" width="122"/>
  </cols>
  <sheetData>
    <row r="1" customFormat="false" ht="21.75" hidden="false" customHeight="true" outlineLevel="0" collapsed="false">
      <c r="B1" s="2" t="s">
        <v>0</v>
      </c>
      <c r="C1" s="3"/>
      <c r="D1" s="3"/>
      <c r="E1" s="3"/>
      <c r="F1" s="3"/>
      <c r="G1" s="3"/>
      <c r="H1" s="3"/>
      <c r="I1" s="3"/>
    </row>
    <row r="3" customFormat="false" ht="30" hidden="false" customHeight="true" outlineLevel="0" collapsed="false">
      <c r="B3" s="4" t="s">
        <v>1</v>
      </c>
      <c r="C3" s="5" t="s">
        <v>2</v>
      </c>
    </row>
    <row r="4" customFormat="false" ht="15" hidden="false" customHeight="true" outlineLevel="0" collapsed="false">
      <c r="C4" s="5"/>
    </row>
    <row r="5" customFormat="false" ht="15" hidden="false" customHeight="true" outlineLevel="0" collapsed="false">
      <c r="B5" s="4" t="s">
        <v>3</v>
      </c>
      <c r="C5" s="5" t="s">
        <v>4</v>
      </c>
    </row>
    <row r="6" customFormat="false" ht="30" hidden="false" customHeight="true" outlineLevel="0" collapsed="false">
      <c r="C6" s="5" t="s">
        <v>5</v>
      </c>
    </row>
    <row r="7" customFormat="false" ht="15" hidden="false" customHeight="true" outlineLevel="0" collapsed="false">
      <c r="C7" s="5" t="s">
        <v>6</v>
      </c>
    </row>
    <row r="8" customFormat="false" ht="30" hidden="false" customHeight="true" outlineLevel="0" collapsed="false">
      <c r="C8" s="5" t="s">
        <v>7</v>
      </c>
    </row>
    <row r="9" customFormat="false" ht="15" hidden="false" customHeight="true" outlineLevel="0" collapsed="false">
      <c r="C9" s="5"/>
    </row>
    <row r="10" customFormat="false" ht="30" hidden="false" customHeight="true" outlineLevel="0" collapsed="false">
      <c r="B10" s="4" t="s">
        <v>8</v>
      </c>
      <c r="C10" s="5" t="s">
        <v>9</v>
      </c>
    </row>
    <row r="11" customFormat="false" ht="15" hidden="false" customHeight="true" outlineLevel="0" collapsed="false">
      <c r="C11" s="5"/>
    </row>
    <row r="12" customFormat="false" ht="45" hidden="false" customHeight="true" outlineLevel="0" collapsed="false">
      <c r="B12" s="4" t="s">
        <v>10</v>
      </c>
      <c r="C12" s="5" t="s">
        <v>11</v>
      </c>
    </row>
    <row r="13" customFormat="false" ht="15" hidden="false" customHeight="true" outlineLevel="0" collapsed="false">
      <c r="C13" s="5"/>
    </row>
    <row r="14" customFormat="false" ht="15" hidden="false" customHeight="true" outlineLevel="0" collapsed="false">
      <c r="B14" s="4" t="s">
        <v>12</v>
      </c>
      <c r="C14" s="5"/>
    </row>
    <row r="15" customFormat="false" ht="15" hidden="false" customHeight="true" outlineLevel="0" collapsed="false">
      <c r="B15" s="4" t="s">
        <v>13</v>
      </c>
      <c r="C15" s="5" t="s">
        <v>14</v>
      </c>
    </row>
    <row r="16" customFormat="false" ht="15" hidden="false" customHeight="true" outlineLevel="0" collapsed="false">
      <c r="B16" s="4" t="s">
        <v>15</v>
      </c>
      <c r="C16" s="5" t="s">
        <v>16</v>
      </c>
    </row>
    <row r="17" customFormat="false" ht="15" hidden="false" customHeight="true" outlineLevel="0" collapsed="false">
      <c r="B17" s="4" t="s">
        <v>17</v>
      </c>
      <c r="C17" s="5" t="s">
        <v>18</v>
      </c>
    </row>
    <row r="18" customFormat="false" ht="15" hidden="false" customHeight="true" outlineLevel="0" collapsed="false">
      <c r="B18" s="4" t="s">
        <v>19</v>
      </c>
      <c r="C18" s="5" t="s">
        <v>20</v>
      </c>
    </row>
    <row r="19" customFormat="false" ht="15" hidden="false" customHeight="true" outlineLevel="0" collapsed="false">
      <c r="B19" s="4" t="s">
        <v>21</v>
      </c>
      <c r="C19" s="5"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F2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30"/>
    <col collapsed="false" customWidth="true" hidden="false" outlineLevel="0" max="4" min="4" style="1" width="56"/>
    <col collapsed="false" customWidth="true" hidden="false" outlineLevel="0" max="5" min="5" style="1" width="58"/>
  </cols>
  <sheetData>
    <row r="1" customFormat="false" ht="21.75" hidden="false" customHeight="true" outlineLevel="0" collapsed="false">
      <c r="B1" s="2" t="s">
        <v>23</v>
      </c>
      <c r="C1" s="3"/>
      <c r="D1" s="3"/>
      <c r="E1" s="3"/>
      <c r="F1" s="3"/>
    </row>
    <row r="4" customFormat="false" ht="31.5" hidden="false" customHeight="true" outlineLevel="0" collapsed="false">
      <c r="B4" s="6" t="s">
        <v>24</v>
      </c>
      <c r="C4" s="6" t="s">
        <v>25</v>
      </c>
      <c r="D4" s="6" t="s">
        <v>26</v>
      </c>
      <c r="E4" s="6" t="s">
        <v>27</v>
      </c>
    </row>
    <row r="5" customFormat="false" ht="39" hidden="false" customHeight="true" outlineLevel="0" collapsed="false">
      <c r="B5" s="7" t="s">
        <v>28</v>
      </c>
      <c r="C5" s="8" t="s">
        <v>29</v>
      </c>
      <c r="D5" s="8" t="s">
        <v>30</v>
      </c>
      <c r="E5" s="8" t="s">
        <v>31</v>
      </c>
    </row>
    <row r="6" customFormat="false" ht="78" hidden="false" customHeight="true" outlineLevel="0" collapsed="false">
      <c r="B6" s="7" t="s">
        <v>32</v>
      </c>
      <c r="C6" s="8" t="s">
        <v>8</v>
      </c>
      <c r="D6" s="8" t="s">
        <v>33</v>
      </c>
      <c r="E6" s="8" t="s">
        <v>34</v>
      </c>
    </row>
    <row r="7" customFormat="false" ht="39" hidden="false" customHeight="true" outlineLevel="0" collapsed="false">
      <c r="B7" s="7" t="s">
        <v>35</v>
      </c>
      <c r="C7" s="8" t="s">
        <v>36</v>
      </c>
      <c r="D7" s="8" t="s">
        <v>37</v>
      </c>
      <c r="E7" s="8" t="s">
        <v>38</v>
      </c>
    </row>
    <row r="8" customFormat="false" ht="78" hidden="false" customHeight="true" outlineLevel="0" collapsed="false">
      <c r="B8" s="7" t="s">
        <v>39</v>
      </c>
      <c r="C8" s="8" t="s">
        <v>40</v>
      </c>
      <c r="D8" s="8" t="s">
        <v>41</v>
      </c>
      <c r="E8" s="8" t="s">
        <v>42</v>
      </c>
    </row>
    <row r="9" customFormat="false" ht="64.5" hidden="false" customHeight="true" outlineLevel="0" collapsed="false">
      <c r="B9" s="7" t="s">
        <v>43</v>
      </c>
      <c r="C9" s="8" t="s">
        <v>44</v>
      </c>
      <c r="D9" s="8" t="s">
        <v>45</v>
      </c>
      <c r="E9" s="8" t="s">
        <v>46</v>
      </c>
    </row>
    <row r="10" customFormat="false" ht="64.5" hidden="false" customHeight="true" outlineLevel="0" collapsed="false">
      <c r="B10" s="7" t="s">
        <v>47</v>
      </c>
      <c r="C10" s="8" t="s">
        <v>48</v>
      </c>
      <c r="D10" s="8" t="s">
        <v>49</v>
      </c>
      <c r="E10" s="8" t="s">
        <v>50</v>
      </c>
    </row>
    <row r="11" customFormat="false" ht="51.75" hidden="false" customHeight="true" outlineLevel="0" collapsed="false">
      <c r="B11" s="7" t="s">
        <v>51</v>
      </c>
      <c r="C11" s="8" t="s">
        <v>52</v>
      </c>
      <c r="D11" s="8" t="s">
        <v>53</v>
      </c>
      <c r="E11" s="8" t="s">
        <v>54</v>
      </c>
    </row>
    <row r="12" customFormat="false" ht="39" hidden="false" customHeight="true" outlineLevel="0" collapsed="false">
      <c r="B12" s="7" t="s">
        <v>55</v>
      </c>
      <c r="C12" s="8" t="s">
        <v>56</v>
      </c>
      <c r="D12" s="8" t="s">
        <v>57</v>
      </c>
      <c r="E12" s="8" t="s">
        <v>58</v>
      </c>
    </row>
    <row r="13" customFormat="false" ht="30" hidden="false" customHeight="true" outlineLevel="0" collapsed="false">
      <c r="B13" s="7" t="s">
        <v>59</v>
      </c>
      <c r="C13" s="8" t="s">
        <v>60</v>
      </c>
      <c r="D13" s="8" t="s">
        <v>61</v>
      </c>
      <c r="E13" s="8" t="s">
        <v>62</v>
      </c>
    </row>
    <row r="14" customFormat="false" ht="51.75" hidden="false" customHeight="true" outlineLevel="0" collapsed="false">
      <c r="B14" s="7" t="s">
        <v>63</v>
      </c>
      <c r="C14" s="8" t="s">
        <v>64</v>
      </c>
      <c r="D14" s="8" t="s">
        <v>65</v>
      </c>
      <c r="E14" s="8" t="s">
        <v>66</v>
      </c>
    </row>
    <row r="15" customFormat="false" ht="39" hidden="false" customHeight="true" outlineLevel="0" collapsed="false">
      <c r="B15" s="7" t="s">
        <v>67</v>
      </c>
      <c r="C15" s="8" t="s">
        <v>68</v>
      </c>
      <c r="D15" s="8" t="s">
        <v>69</v>
      </c>
      <c r="E15" s="8" t="s">
        <v>70</v>
      </c>
    </row>
    <row r="16" customFormat="false" ht="51.75" hidden="false" customHeight="true" outlineLevel="0" collapsed="false">
      <c r="B16" s="7" t="s">
        <v>71</v>
      </c>
      <c r="C16" s="8" t="s">
        <v>72</v>
      </c>
      <c r="D16" s="8" t="s">
        <v>73</v>
      </c>
      <c r="E16" s="8" t="s">
        <v>74</v>
      </c>
    </row>
    <row r="17" customFormat="false" ht="78" hidden="false" customHeight="true" outlineLevel="0" collapsed="false">
      <c r="B17" s="7" t="s">
        <v>75</v>
      </c>
      <c r="C17" s="8" t="s">
        <v>76</v>
      </c>
      <c r="D17" s="8" t="s">
        <v>77</v>
      </c>
      <c r="E17" s="8" t="s">
        <v>78</v>
      </c>
    </row>
    <row r="18" customFormat="false" ht="39" hidden="false" customHeight="true" outlineLevel="0" collapsed="false">
      <c r="B18" s="7" t="s">
        <v>79</v>
      </c>
      <c r="C18" s="8" t="s">
        <v>80</v>
      </c>
      <c r="D18" s="8" t="s">
        <v>81</v>
      </c>
      <c r="E18" s="8" t="s">
        <v>82</v>
      </c>
    </row>
    <row r="19" customFormat="false" ht="39" hidden="false" customHeight="true" outlineLevel="0" collapsed="false">
      <c r="B19" s="7" t="s">
        <v>83</v>
      </c>
      <c r="C19" s="8" t="s">
        <v>84</v>
      </c>
      <c r="D19" s="8" t="s">
        <v>85</v>
      </c>
      <c r="E19" s="8" t="s">
        <v>86</v>
      </c>
    </row>
    <row r="20" customFormat="false" ht="30" hidden="false" customHeight="true" outlineLevel="0" collapsed="false">
      <c r="B20" s="7" t="s">
        <v>87</v>
      </c>
      <c r="C20" s="8" t="s">
        <v>88</v>
      </c>
      <c r="D20" s="8" t="s">
        <v>89</v>
      </c>
      <c r="E20" s="8" t="s">
        <v>90</v>
      </c>
    </row>
    <row r="21" customFormat="false" ht="78" hidden="false" customHeight="true" outlineLevel="0" collapsed="false">
      <c r="B21" s="7" t="s">
        <v>91</v>
      </c>
      <c r="C21" s="8" t="s">
        <v>92</v>
      </c>
      <c r="D21" s="8" t="s">
        <v>93</v>
      </c>
      <c r="E21" s="8" t="s">
        <v>94</v>
      </c>
    </row>
    <row r="22" customFormat="false" ht="51.75" hidden="false" customHeight="true" outlineLevel="0" collapsed="false">
      <c r="B22" s="7" t="s">
        <v>95</v>
      </c>
      <c r="C22" s="8" t="s">
        <v>96</v>
      </c>
      <c r="D22" s="8" t="s">
        <v>85</v>
      </c>
      <c r="E22" s="8" t="s">
        <v>97</v>
      </c>
    </row>
    <row r="23" customFormat="false" ht="64.5" hidden="false" customHeight="true" outlineLevel="0" collapsed="false">
      <c r="B23" s="7" t="s">
        <v>98</v>
      </c>
      <c r="C23" s="8" t="s">
        <v>99</v>
      </c>
      <c r="D23" s="8" t="s">
        <v>100</v>
      </c>
      <c r="E23" s="8" t="s">
        <v>101</v>
      </c>
    </row>
    <row r="24" customFormat="false" ht="39" hidden="false" customHeight="true" outlineLevel="0" collapsed="false">
      <c r="B24" s="7" t="s">
        <v>102</v>
      </c>
      <c r="C24" s="8" t="s">
        <v>103</v>
      </c>
      <c r="D24" s="8" t="s">
        <v>104</v>
      </c>
      <c r="E24" s="8"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G4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34"/>
    <col collapsed="false" customWidth="true" hidden="false" outlineLevel="0" max="4" min="4" style="1" width="30"/>
    <col collapsed="false" customWidth="true" hidden="false" outlineLevel="0" max="5" min="5" style="1" width="42"/>
    <col collapsed="false" customWidth="true" hidden="false" outlineLevel="0" max="6" min="6" style="1" width="56"/>
    <col collapsed="false" customWidth="true" hidden="false" outlineLevel="0" max="7" min="7" style="1" width="15"/>
  </cols>
  <sheetData>
    <row r="1" customFormat="false" ht="21.75" hidden="false" customHeight="true" outlineLevel="0" collapsed="false">
      <c r="B1" s="2" t="s">
        <v>106</v>
      </c>
      <c r="C1" s="3"/>
      <c r="D1" s="3"/>
      <c r="E1" s="3"/>
      <c r="F1" s="3"/>
      <c r="G1" s="3"/>
    </row>
    <row r="2" customFormat="false" ht="721.5" hidden="false" customHeight="true" outlineLevel="0" collapsed="false">
      <c r="B2" s="9" t="s">
        <v>107</v>
      </c>
    </row>
    <row r="4" customFormat="false" ht="31.5" hidden="false" customHeight="true" outlineLevel="0" collapsed="false">
      <c r="B4" s="6" t="s">
        <v>24</v>
      </c>
      <c r="C4" s="6" t="s">
        <v>108</v>
      </c>
      <c r="D4" s="6" t="s">
        <v>109</v>
      </c>
      <c r="E4" s="6" t="s">
        <v>110</v>
      </c>
      <c r="F4" s="6" t="s">
        <v>111</v>
      </c>
      <c r="G4" s="6" t="s">
        <v>112</v>
      </c>
    </row>
    <row r="5" customFormat="false" ht="48" hidden="false" customHeight="true" outlineLevel="0" collapsed="false">
      <c r="B5" s="7" t="s">
        <v>28</v>
      </c>
      <c r="C5" s="8" t="s">
        <v>113</v>
      </c>
      <c r="D5" s="8" t="s">
        <v>114</v>
      </c>
      <c r="E5" s="8" t="s">
        <v>115</v>
      </c>
      <c r="F5" s="8" t="s">
        <v>116</v>
      </c>
      <c r="G5" s="10" t="s">
        <v>117</v>
      </c>
    </row>
    <row r="6" customFormat="false" ht="60" hidden="false" customHeight="true" outlineLevel="0" collapsed="false">
      <c r="B6" s="7" t="s">
        <v>32</v>
      </c>
      <c r="C6" s="8" t="s">
        <v>118</v>
      </c>
      <c r="D6" s="8" t="s">
        <v>119</v>
      </c>
      <c r="E6" s="8" t="s">
        <v>120</v>
      </c>
      <c r="F6" s="8" t="s">
        <v>121</v>
      </c>
      <c r="G6" s="10" t="s">
        <v>117</v>
      </c>
    </row>
    <row r="7" customFormat="false" ht="84" hidden="false" customHeight="true" outlineLevel="0" collapsed="false">
      <c r="B7" s="7" t="s">
        <v>35</v>
      </c>
      <c r="C7" s="8" t="s">
        <v>122</v>
      </c>
      <c r="D7" s="8" t="s">
        <v>123</v>
      </c>
      <c r="E7" s="8" t="s">
        <v>124</v>
      </c>
      <c r="F7" s="8" t="s">
        <v>125</v>
      </c>
      <c r="G7" s="11" t="s">
        <v>126</v>
      </c>
    </row>
    <row r="8" customFormat="false" ht="30" hidden="false" customHeight="true" outlineLevel="0" collapsed="false">
      <c r="B8" s="7" t="s">
        <v>39</v>
      </c>
      <c r="C8" s="8" t="s">
        <v>127</v>
      </c>
      <c r="D8" s="8" t="s">
        <v>128</v>
      </c>
      <c r="E8" s="8" t="s">
        <v>129</v>
      </c>
      <c r="F8" s="8" t="s">
        <v>130</v>
      </c>
      <c r="G8" s="11" t="s">
        <v>131</v>
      </c>
    </row>
    <row r="9" customFormat="false" ht="120" hidden="false" customHeight="true" outlineLevel="0" collapsed="false">
      <c r="B9" s="7" t="s">
        <v>43</v>
      </c>
      <c r="C9" s="8" t="s">
        <v>132</v>
      </c>
      <c r="D9" s="8" t="s">
        <v>133</v>
      </c>
      <c r="E9" s="8" t="s">
        <v>134</v>
      </c>
      <c r="F9" s="8" t="s">
        <v>135</v>
      </c>
      <c r="G9" s="10" t="s">
        <v>136</v>
      </c>
    </row>
    <row r="10" customFormat="false" ht="72" hidden="false" customHeight="true" outlineLevel="0" collapsed="false">
      <c r="B10" s="7" t="s">
        <v>47</v>
      </c>
      <c r="C10" s="8" t="s">
        <v>137</v>
      </c>
      <c r="D10" s="8" t="s">
        <v>138</v>
      </c>
      <c r="E10" s="8" t="s">
        <v>139</v>
      </c>
      <c r="F10" s="8" t="s">
        <v>140</v>
      </c>
      <c r="G10" s="12" t="s">
        <v>141</v>
      </c>
    </row>
    <row r="11" customFormat="false" ht="48" hidden="false" customHeight="true" outlineLevel="0" collapsed="false">
      <c r="B11" s="7" t="s">
        <v>51</v>
      </c>
      <c r="C11" s="8" t="s">
        <v>142</v>
      </c>
      <c r="D11" s="8" t="s">
        <v>138</v>
      </c>
      <c r="E11" s="8" t="s">
        <v>143</v>
      </c>
      <c r="F11" s="8" t="s">
        <v>144</v>
      </c>
      <c r="G11" s="11" t="s">
        <v>131</v>
      </c>
    </row>
    <row r="12" customFormat="false" ht="36" hidden="false" customHeight="true" outlineLevel="0" collapsed="false">
      <c r="B12" s="7" t="s">
        <v>55</v>
      </c>
      <c r="C12" s="8" t="s">
        <v>145</v>
      </c>
      <c r="D12" s="8" t="s">
        <v>146</v>
      </c>
      <c r="E12" s="8" t="s">
        <v>147</v>
      </c>
      <c r="F12" s="8" t="s">
        <v>148</v>
      </c>
      <c r="G12" s="11" t="s">
        <v>131</v>
      </c>
    </row>
    <row r="13" customFormat="false" ht="96" hidden="false" customHeight="true" outlineLevel="0" collapsed="false">
      <c r="B13" s="7" t="s">
        <v>59</v>
      </c>
      <c r="C13" s="8" t="s">
        <v>149</v>
      </c>
      <c r="D13" s="8" t="s">
        <v>150</v>
      </c>
      <c r="E13" s="8" t="s">
        <v>151</v>
      </c>
      <c r="F13" s="8" t="s">
        <v>152</v>
      </c>
      <c r="G13" s="11" t="s">
        <v>153</v>
      </c>
    </row>
    <row r="14" customFormat="false" ht="60" hidden="false" customHeight="true" outlineLevel="0" collapsed="false">
      <c r="B14" s="7" t="s">
        <v>63</v>
      </c>
      <c r="C14" s="8" t="s">
        <v>154</v>
      </c>
      <c r="D14" s="8" t="s">
        <v>155</v>
      </c>
      <c r="E14" s="8" t="s">
        <v>151</v>
      </c>
      <c r="F14" s="8" t="s">
        <v>156</v>
      </c>
      <c r="G14" s="10" t="s">
        <v>157</v>
      </c>
    </row>
    <row r="15" customFormat="false" ht="84" hidden="false" customHeight="true" outlineLevel="0" collapsed="false">
      <c r="B15" s="7" t="s">
        <v>67</v>
      </c>
      <c r="C15" s="8" t="s">
        <v>158</v>
      </c>
      <c r="D15" s="8" t="s">
        <v>159</v>
      </c>
      <c r="E15" s="8" t="s">
        <v>160</v>
      </c>
      <c r="F15" s="8" t="s">
        <v>161</v>
      </c>
      <c r="G15" s="10" t="s">
        <v>162</v>
      </c>
    </row>
    <row r="16" customFormat="false" ht="72" hidden="false" customHeight="true" outlineLevel="0" collapsed="false">
      <c r="B16" s="7" t="s">
        <v>71</v>
      </c>
      <c r="C16" s="8" t="s">
        <v>163</v>
      </c>
      <c r="D16" s="8" t="s">
        <v>159</v>
      </c>
      <c r="E16" s="8" t="s">
        <v>164</v>
      </c>
      <c r="F16" s="8" t="s">
        <v>165</v>
      </c>
      <c r="G16" s="10" t="s">
        <v>162</v>
      </c>
    </row>
    <row r="17" customFormat="false" ht="72" hidden="false" customHeight="true" outlineLevel="0" collapsed="false">
      <c r="B17" s="7" t="s">
        <v>75</v>
      </c>
      <c r="C17" s="8" t="s">
        <v>166</v>
      </c>
      <c r="D17" s="8" t="s">
        <v>167</v>
      </c>
      <c r="E17" s="8" t="s">
        <v>168</v>
      </c>
      <c r="F17" s="8" t="s">
        <v>169</v>
      </c>
      <c r="G17" s="10" t="s">
        <v>117</v>
      </c>
    </row>
    <row r="18" customFormat="false" ht="60" hidden="false" customHeight="true" outlineLevel="0" collapsed="false">
      <c r="B18" s="7" t="s">
        <v>79</v>
      </c>
      <c r="C18" s="8" t="s">
        <v>170</v>
      </c>
      <c r="D18" s="8" t="s">
        <v>171</v>
      </c>
      <c r="E18" s="8" t="s">
        <v>172</v>
      </c>
      <c r="F18" s="8" t="s">
        <v>173</v>
      </c>
      <c r="G18" s="11" t="s">
        <v>131</v>
      </c>
    </row>
    <row r="19" customFormat="false" ht="72" hidden="false" customHeight="true" outlineLevel="0" collapsed="false">
      <c r="B19" s="7" t="s">
        <v>83</v>
      </c>
      <c r="C19" s="8" t="s">
        <v>174</v>
      </c>
      <c r="D19" s="8" t="s">
        <v>175</v>
      </c>
      <c r="E19" s="8" t="s">
        <v>172</v>
      </c>
      <c r="F19" s="8" t="s">
        <v>176</v>
      </c>
      <c r="G19" s="10" t="s">
        <v>117</v>
      </c>
    </row>
    <row r="20" customFormat="false" ht="84" hidden="false" customHeight="true" outlineLevel="0" collapsed="false">
      <c r="B20" s="7" t="s">
        <v>87</v>
      </c>
      <c r="C20" s="8" t="s">
        <v>177</v>
      </c>
      <c r="D20" s="8" t="s">
        <v>178</v>
      </c>
      <c r="E20" s="8" t="s">
        <v>179</v>
      </c>
      <c r="F20" s="8" t="s">
        <v>180</v>
      </c>
      <c r="G20" s="12" t="s">
        <v>181</v>
      </c>
    </row>
    <row r="21" customFormat="false" ht="84" hidden="false" customHeight="true" outlineLevel="0" collapsed="false">
      <c r="B21" s="7" t="s">
        <v>91</v>
      </c>
      <c r="C21" s="8" t="s">
        <v>182</v>
      </c>
      <c r="D21" s="8" t="s">
        <v>178</v>
      </c>
      <c r="E21" s="8" t="s">
        <v>183</v>
      </c>
      <c r="F21" s="8" t="s">
        <v>184</v>
      </c>
      <c r="G21" s="12" t="s">
        <v>181</v>
      </c>
    </row>
    <row r="22" customFormat="false" ht="96" hidden="false" customHeight="true" outlineLevel="0" collapsed="false">
      <c r="B22" s="7" t="s">
        <v>95</v>
      </c>
      <c r="C22" s="8" t="s">
        <v>185</v>
      </c>
      <c r="D22" s="8" t="s">
        <v>186</v>
      </c>
      <c r="E22" s="8" t="s">
        <v>187</v>
      </c>
      <c r="F22" s="8" t="s">
        <v>188</v>
      </c>
      <c r="G22" s="10" t="s">
        <v>189</v>
      </c>
    </row>
    <row r="23" customFormat="false" ht="60" hidden="false" customHeight="true" outlineLevel="0" collapsed="false">
      <c r="B23" s="7" t="s">
        <v>98</v>
      </c>
      <c r="C23" s="8" t="s">
        <v>190</v>
      </c>
      <c r="D23" s="8" t="s">
        <v>191</v>
      </c>
      <c r="E23" s="8" t="s">
        <v>192</v>
      </c>
      <c r="F23" s="8" t="s">
        <v>193</v>
      </c>
      <c r="G23" s="10" t="s">
        <v>194</v>
      </c>
    </row>
    <row r="24" customFormat="false" ht="72" hidden="false" customHeight="true" outlineLevel="0" collapsed="false">
      <c r="B24" s="7" t="s">
        <v>102</v>
      </c>
      <c r="C24" s="8" t="s">
        <v>195</v>
      </c>
      <c r="D24" s="8" t="s">
        <v>196</v>
      </c>
      <c r="E24" s="8" t="s">
        <v>197</v>
      </c>
      <c r="F24" s="8" t="s">
        <v>198</v>
      </c>
      <c r="G24" s="11" t="s">
        <v>131</v>
      </c>
    </row>
    <row r="25" customFormat="false" ht="84" hidden="false" customHeight="true" outlineLevel="0" collapsed="false">
      <c r="B25" s="7" t="s">
        <v>199</v>
      </c>
      <c r="C25" s="8" t="s">
        <v>200</v>
      </c>
      <c r="D25" s="8" t="s">
        <v>201</v>
      </c>
      <c r="E25" s="8" t="s">
        <v>197</v>
      </c>
      <c r="F25" s="8" t="s">
        <v>202</v>
      </c>
      <c r="G25" s="11" t="s">
        <v>203</v>
      </c>
    </row>
    <row r="26" customFormat="false" ht="60" hidden="false" customHeight="true" outlineLevel="0" collapsed="false">
      <c r="B26" s="7" t="s">
        <v>204</v>
      </c>
      <c r="C26" s="8" t="s">
        <v>205</v>
      </c>
      <c r="D26" s="8" t="s">
        <v>206</v>
      </c>
      <c r="E26" s="8" t="s">
        <v>207</v>
      </c>
      <c r="F26" s="8" t="s">
        <v>208</v>
      </c>
      <c r="G26" s="10" t="s">
        <v>209</v>
      </c>
    </row>
    <row r="27" customFormat="false" ht="96" hidden="false" customHeight="true" outlineLevel="0" collapsed="false">
      <c r="B27" s="7" t="s">
        <v>210</v>
      </c>
      <c r="C27" s="8" t="s">
        <v>211</v>
      </c>
      <c r="D27" s="8" t="s">
        <v>212</v>
      </c>
      <c r="E27" s="8" t="s">
        <v>213</v>
      </c>
      <c r="F27" s="8" t="s">
        <v>214</v>
      </c>
      <c r="G27" s="12" t="s">
        <v>215</v>
      </c>
    </row>
    <row r="28" customFormat="false" ht="30" hidden="false" customHeight="true" outlineLevel="0" collapsed="false">
      <c r="B28" s="7" t="s">
        <v>216</v>
      </c>
      <c r="C28" s="8" t="s">
        <v>217</v>
      </c>
      <c r="D28" s="8" t="s">
        <v>218</v>
      </c>
      <c r="E28" s="8" t="s">
        <v>219</v>
      </c>
      <c r="F28" s="8" t="s">
        <v>220</v>
      </c>
      <c r="G28" s="12" t="s">
        <v>221</v>
      </c>
    </row>
    <row r="29" customFormat="false" ht="30" hidden="false" customHeight="true" outlineLevel="0" collapsed="false">
      <c r="B29" s="7" t="s">
        <v>222</v>
      </c>
      <c r="C29" s="8" t="s">
        <v>223</v>
      </c>
      <c r="D29" s="8" t="s">
        <v>224</v>
      </c>
      <c r="E29" s="8" t="s">
        <v>225</v>
      </c>
      <c r="F29" s="8" t="s">
        <v>226</v>
      </c>
      <c r="G29" s="11" t="s">
        <v>131</v>
      </c>
    </row>
    <row r="30" customFormat="false" ht="30" hidden="false" customHeight="true" outlineLevel="0" collapsed="false">
      <c r="B30" s="7" t="s">
        <v>227</v>
      </c>
      <c r="C30" s="8" t="s">
        <v>228</v>
      </c>
      <c r="D30" s="8" t="s">
        <v>229</v>
      </c>
      <c r="E30" s="8" t="s">
        <v>230</v>
      </c>
      <c r="F30" s="8" t="s">
        <v>231</v>
      </c>
      <c r="G30" s="11" t="s">
        <v>131</v>
      </c>
    </row>
    <row r="31" customFormat="false" ht="72" hidden="false" customHeight="true" outlineLevel="0" collapsed="false">
      <c r="B31" s="7" t="s">
        <v>232</v>
      </c>
      <c r="C31" s="8" t="s">
        <v>233</v>
      </c>
      <c r="D31" s="8" t="s">
        <v>234</v>
      </c>
      <c r="E31" s="8" t="s">
        <v>235</v>
      </c>
      <c r="F31" s="8" t="s">
        <v>236</v>
      </c>
      <c r="G31" s="11" t="s">
        <v>131</v>
      </c>
    </row>
    <row r="32" customFormat="false" ht="72" hidden="false" customHeight="true" outlineLevel="0" collapsed="false">
      <c r="B32" s="7" t="s">
        <v>237</v>
      </c>
      <c r="C32" s="8" t="s">
        <v>238</v>
      </c>
      <c r="D32" s="8" t="s">
        <v>239</v>
      </c>
      <c r="E32" s="8" t="s">
        <v>235</v>
      </c>
      <c r="F32" s="8" t="s">
        <v>240</v>
      </c>
      <c r="G32" s="11" t="s">
        <v>241</v>
      </c>
    </row>
    <row r="33" customFormat="false" ht="84" hidden="false" customHeight="true" outlineLevel="0" collapsed="false">
      <c r="B33" s="7" t="s">
        <v>242</v>
      </c>
      <c r="C33" s="8" t="s">
        <v>243</v>
      </c>
      <c r="D33" s="8" t="s">
        <v>244</v>
      </c>
      <c r="E33" s="8" t="s">
        <v>245</v>
      </c>
      <c r="F33" s="8" t="s">
        <v>246</v>
      </c>
      <c r="G33" s="12" t="s">
        <v>247</v>
      </c>
    </row>
    <row r="34" customFormat="false" ht="60" hidden="false" customHeight="true" outlineLevel="0" collapsed="false">
      <c r="B34" s="7" t="s">
        <v>248</v>
      </c>
      <c r="C34" s="8" t="s">
        <v>249</v>
      </c>
      <c r="D34" s="8" t="s">
        <v>250</v>
      </c>
      <c r="E34" s="8" t="s">
        <v>251</v>
      </c>
      <c r="F34" s="8" t="s">
        <v>252</v>
      </c>
      <c r="G34" s="10" t="s">
        <v>253</v>
      </c>
    </row>
    <row r="35" customFormat="false" ht="72" hidden="false" customHeight="true" outlineLevel="0" collapsed="false">
      <c r="B35" s="7" t="s">
        <v>254</v>
      </c>
      <c r="C35" s="8" t="s">
        <v>255</v>
      </c>
      <c r="D35" s="8" t="s">
        <v>256</v>
      </c>
      <c r="E35" s="8" t="s">
        <v>257</v>
      </c>
      <c r="F35" s="8" t="s">
        <v>258</v>
      </c>
      <c r="G35" s="11" t="s">
        <v>131</v>
      </c>
    </row>
    <row r="36" customFormat="false" ht="84" hidden="false" customHeight="true" outlineLevel="0" collapsed="false">
      <c r="B36" s="7" t="s">
        <v>259</v>
      </c>
      <c r="C36" s="8" t="s">
        <v>260</v>
      </c>
      <c r="D36" s="8" t="s">
        <v>261</v>
      </c>
      <c r="E36" s="8" t="s">
        <v>262</v>
      </c>
      <c r="F36" s="8" t="s">
        <v>263</v>
      </c>
      <c r="G36" s="11" t="s">
        <v>131</v>
      </c>
    </row>
    <row r="37" customFormat="false" ht="48" hidden="false" customHeight="true" outlineLevel="0" collapsed="false">
      <c r="B37" s="7" t="s">
        <v>264</v>
      </c>
      <c r="C37" s="8" t="s">
        <v>265</v>
      </c>
      <c r="D37" s="8" t="s">
        <v>266</v>
      </c>
      <c r="E37" s="8" t="s">
        <v>267</v>
      </c>
      <c r="F37" s="8" t="s">
        <v>268</v>
      </c>
      <c r="G37" s="11" t="s">
        <v>131</v>
      </c>
    </row>
    <row r="38" customFormat="false" ht="72" hidden="false" customHeight="true" outlineLevel="0" collapsed="false">
      <c r="B38" s="7" t="s">
        <v>269</v>
      </c>
      <c r="C38" s="8" t="s">
        <v>270</v>
      </c>
      <c r="D38" s="8" t="s">
        <v>271</v>
      </c>
      <c r="E38" s="8" t="s">
        <v>272</v>
      </c>
      <c r="F38" s="8" t="s">
        <v>273</v>
      </c>
      <c r="G38" s="11" t="s">
        <v>274</v>
      </c>
    </row>
    <row r="39" customFormat="false" ht="60" hidden="false" customHeight="true" outlineLevel="0" collapsed="false">
      <c r="B39" s="7" t="s">
        <v>275</v>
      </c>
      <c r="C39" s="8" t="s">
        <v>276</v>
      </c>
      <c r="D39" s="8" t="s">
        <v>277</v>
      </c>
      <c r="E39" s="8" t="s">
        <v>278</v>
      </c>
      <c r="F39" s="8" t="s">
        <v>279</v>
      </c>
      <c r="G39" s="12" t="s">
        <v>280</v>
      </c>
    </row>
    <row r="40" customFormat="false" ht="60" hidden="false" customHeight="true" outlineLevel="0" collapsed="false">
      <c r="B40" s="7" t="s">
        <v>281</v>
      </c>
      <c r="C40" s="8" t="s">
        <v>282</v>
      </c>
      <c r="D40" s="8" t="s">
        <v>283</v>
      </c>
      <c r="E40" s="8" t="s">
        <v>284</v>
      </c>
      <c r="F40" s="8" t="s">
        <v>285</v>
      </c>
      <c r="G40" s="12" t="s">
        <v>286</v>
      </c>
    </row>
    <row r="41" customFormat="false" ht="84" hidden="false" customHeight="true" outlineLevel="0" collapsed="false">
      <c r="B41" s="7" t="s">
        <v>287</v>
      </c>
      <c r="C41" s="8" t="s">
        <v>288</v>
      </c>
      <c r="D41" s="8" t="s">
        <v>289</v>
      </c>
      <c r="E41" s="8" t="s">
        <v>290</v>
      </c>
      <c r="F41" s="8" t="s">
        <v>291</v>
      </c>
      <c r="G41" s="10" t="s">
        <v>292</v>
      </c>
    </row>
    <row r="42" customFormat="false" ht="48" hidden="false" customHeight="true" outlineLevel="0" collapsed="false">
      <c r="B42" s="7" t="s">
        <v>293</v>
      </c>
      <c r="C42" s="8" t="s">
        <v>294</v>
      </c>
      <c r="D42" s="8" t="s">
        <v>295</v>
      </c>
      <c r="E42" s="8" t="s">
        <v>296</v>
      </c>
      <c r="F42" s="8" t="s">
        <v>297</v>
      </c>
      <c r="G42" s="10" t="s">
        <v>292</v>
      </c>
    </row>
    <row r="43" customFormat="false" ht="60" hidden="false" customHeight="true" outlineLevel="0" collapsed="false">
      <c r="B43" s="7" t="s">
        <v>298</v>
      </c>
      <c r="C43" s="8" t="s">
        <v>299</v>
      </c>
      <c r="D43" s="8" t="s">
        <v>300</v>
      </c>
      <c r="E43" s="8" t="s">
        <v>290</v>
      </c>
      <c r="F43" s="8" t="s">
        <v>301</v>
      </c>
      <c r="G43"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100"/>
    <pageSetUpPr fitToPage="false"/>
  </sheetPr>
  <dimension ref="B1:G3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50"/>
    <col collapsed="false" customWidth="true" hidden="false" outlineLevel="0" max="5" min="4" style="1" width="14"/>
    <col collapsed="false" customWidth="true" hidden="false" outlineLevel="0" max="6" min="6" style="1" width="84"/>
  </cols>
  <sheetData>
    <row r="1" customFormat="false" ht="21.75" hidden="false" customHeight="true" outlineLevel="0" collapsed="false">
      <c r="B1" s="2" t="s">
        <v>302</v>
      </c>
      <c r="C1" s="3"/>
      <c r="D1" s="3"/>
      <c r="E1" s="3"/>
      <c r="F1" s="3"/>
      <c r="G1" s="3"/>
    </row>
    <row r="2" customFormat="false" ht="429" hidden="false" customHeight="true" outlineLevel="0" collapsed="false">
      <c r="B2" s="9" t="s">
        <v>303</v>
      </c>
    </row>
    <row r="4" customFormat="false" ht="31.5" hidden="false" customHeight="true" outlineLevel="0" collapsed="false">
      <c r="B4" s="6" t="s">
        <v>24</v>
      </c>
      <c r="C4" s="6" t="s">
        <v>304</v>
      </c>
      <c r="D4" s="6" t="s">
        <v>305</v>
      </c>
      <c r="E4" s="6" t="s">
        <v>112</v>
      </c>
      <c r="F4" s="6" t="s">
        <v>306</v>
      </c>
    </row>
    <row r="5" customFormat="false" ht="27.75" hidden="false" customHeight="true" outlineLevel="0" collapsed="false">
      <c r="B5" s="13" t="s">
        <v>28</v>
      </c>
      <c r="C5" s="8" t="s">
        <v>307</v>
      </c>
      <c r="D5" s="14" t="n">
        <f aca="false">Sector_Master!E18</f>
        <v>41963.907291</v>
      </c>
      <c r="E5" s="13" t="str">
        <f aca="false">Sector_Master!E20</f>
        <v>PASS</v>
      </c>
      <c r="F5" s="15" t="s">
        <v>308</v>
      </c>
    </row>
    <row r="6" customFormat="false" ht="27.75" hidden="false" customHeight="true" outlineLevel="0" collapsed="false">
      <c r="B6" s="13" t="s">
        <v>32</v>
      </c>
      <c r="C6" s="8" t="s">
        <v>309</v>
      </c>
      <c r="D6" s="14" t="n">
        <f aca="false">COUNTIF(Emissions_Allocation!R6:R12,"FAIL")</f>
        <v>0</v>
      </c>
      <c r="E6" s="13" t="str">
        <f aca="false">IF(D6=0,"PASS","FAIL")</f>
        <v>PASS</v>
      </c>
      <c r="F6" s="15" t="s">
        <v>310</v>
      </c>
    </row>
    <row r="7" customFormat="false" ht="27.75" hidden="false" customHeight="true" outlineLevel="0" collapsed="false">
      <c r="B7" s="13" t="s">
        <v>35</v>
      </c>
      <c r="C7" s="8" t="s">
        <v>311</v>
      </c>
      <c r="D7" s="14" t="str">
        <f aca="false">Emissions_Allocation!D15</f>
        <v>PASS</v>
      </c>
      <c r="E7" s="13" t="str">
        <f aca="false">Emissions_Allocation!D15</f>
        <v>PASS</v>
      </c>
      <c r="F7" s="15" t="s">
        <v>312</v>
      </c>
    </row>
    <row r="8" customFormat="false" ht="27.75" hidden="false" customHeight="true" outlineLevel="0" collapsed="false">
      <c r="B8" s="13" t="s">
        <v>39</v>
      </c>
      <c r="C8" s="8" t="s">
        <v>313</v>
      </c>
      <c r="D8" s="14" t="str">
        <f aca="false">Emissions_Allocation!R17</f>
        <v>OK</v>
      </c>
      <c r="E8" s="13" t="str">
        <f aca="false">Emissions_Allocation!R17</f>
        <v>OK</v>
      </c>
      <c r="F8" s="15" t="s">
        <v>314</v>
      </c>
    </row>
    <row r="9" customFormat="false" ht="48" hidden="false" customHeight="true" outlineLevel="0" collapsed="false">
      <c r="B9" s="13" t="s">
        <v>43</v>
      </c>
      <c r="C9" s="8" t="s">
        <v>315</v>
      </c>
      <c r="D9" s="14" t="n">
        <f aca="false">COUNTIF(Oman_Intensity!F6:F15,0)</f>
        <v>0</v>
      </c>
      <c r="E9" s="13" t="str">
        <f aca="false">IF(D9=0,"PASS","FAIL")</f>
        <v>PASS</v>
      </c>
      <c r="F9" s="15" t="s">
        <v>316</v>
      </c>
    </row>
    <row r="10" customFormat="false" ht="27.75" hidden="false" customHeight="true" outlineLevel="0" collapsed="false">
      <c r="B10" s="13" t="s">
        <v>47</v>
      </c>
      <c r="C10" s="8" t="s">
        <v>317</v>
      </c>
      <c r="D10" s="14" t="n">
        <f aca="false">StressedPD_Sector!G100</f>
        <v>0</v>
      </c>
      <c r="E10" s="13" t="str">
        <f aca="false">IF(D10=0,"PASS","FAIL")</f>
        <v>PASS</v>
      </c>
      <c r="F10" s="15" t="s">
        <v>318</v>
      </c>
    </row>
    <row r="11" customFormat="false" ht="27.75" hidden="false" customHeight="true" outlineLevel="0" collapsed="false">
      <c r="B11" s="13" t="s">
        <v>51</v>
      </c>
      <c r="C11" s="8" t="s">
        <v>319</v>
      </c>
      <c r="D11" s="14" t="n">
        <f aca="false">StressedPD_Sector!G101</f>
        <v>0.02</v>
      </c>
      <c r="E11" s="13" t="str">
        <f aca="false">IF(ABS(D11-0.02)&lt;0.000000001,"PASS","FAIL")</f>
        <v>PASS</v>
      </c>
      <c r="F11" s="15" t="s">
        <v>320</v>
      </c>
    </row>
    <row r="12" customFormat="false" ht="27.75" hidden="false" customHeight="true" outlineLevel="0" collapsed="false">
      <c r="B12" s="13" t="s">
        <v>55</v>
      </c>
      <c r="C12" s="8" t="s">
        <v>321</v>
      </c>
      <c r="D12" s="14" t="n">
        <f aca="false">SUMPRODUCT((StressedPD_Sector!M16:M25&gt;StressedPD_Sector!I16:I25)*1)</f>
        <v>7</v>
      </c>
      <c r="E12" s="13" t="str">
        <f aca="false">IF(D12&gt;0,"crossover present","no crossover")</f>
        <v>crossover present</v>
      </c>
      <c r="F12" s="15" t="s">
        <v>322</v>
      </c>
    </row>
    <row r="13" customFormat="false" ht="36" hidden="false" customHeight="true" outlineLevel="0" collapsed="false">
      <c r="B13" s="13" t="s">
        <v>59</v>
      </c>
      <c r="C13" s="8" t="s">
        <v>323</v>
      </c>
      <c r="D13" s="14" t="str">
        <f aca="false">Sector_Master!C4</f>
        <v>GVA</v>
      </c>
      <c r="E13" s="13" t="str">
        <f aca="false">IF(Sector_Master!C4="GVA","GVA","TURNOVER")</f>
        <v>GVA</v>
      </c>
      <c r="F13" s="15" t="s">
        <v>324</v>
      </c>
    </row>
    <row r="14" customFormat="false" ht="36" hidden="false" customHeight="true" outlineLevel="0" collapsed="false">
      <c r="B14" s="13" t="s">
        <v>63</v>
      </c>
      <c r="C14" s="8" t="s">
        <v>325</v>
      </c>
      <c r="D14" s="14" t="n">
        <f aca="false">EU_k_Calibration!C34</f>
        <v>1</v>
      </c>
      <c r="E14" s="13" t="str">
        <f aca="false">IF(D14=1,"Symmetric","Firm-level")</f>
        <v>Symmetric</v>
      </c>
      <c r="F14" s="15" t="s">
        <v>326</v>
      </c>
    </row>
    <row r="15" customFormat="false" ht="27.75" hidden="false" customHeight="true" outlineLevel="0" collapsed="false">
      <c r="B15" s="13" t="s">
        <v>67</v>
      </c>
      <c r="C15" s="8" t="s">
        <v>327</v>
      </c>
      <c r="D15" s="14" t="n">
        <f aca="false">Scenario_Mapping!C15</f>
        <v>1.35</v>
      </c>
      <c r="E15" s="13" t="str">
        <f aca="false">IF(D15&gt;1.01,"PASS","FAIL")</f>
        <v>PASS</v>
      </c>
      <c r="F15" s="15" t="s">
        <v>328</v>
      </c>
    </row>
    <row r="16" customFormat="false" ht="36" hidden="false" customHeight="true" outlineLevel="0" collapsed="false">
      <c r="B16" s="13" t="s">
        <v>71</v>
      </c>
      <c r="C16" s="8" t="s">
        <v>329</v>
      </c>
      <c r="D16" s="14" t="n">
        <f aca="false">Emissions_Allocation!D26</f>
        <v>0.816927496786875</v>
      </c>
      <c r="E16" s="13" t="str">
        <f aca="false">IF(AND(D16&gt;0.4,D16&lt;0.9),"PASS","REVIEW")</f>
        <v>PASS</v>
      </c>
      <c r="F16" s="15" t="s">
        <v>330</v>
      </c>
    </row>
    <row r="17" customFormat="false" ht="27.75" hidden="false" customHeight="true" outlineLevel="0" collapsed="false">
      <c r="B17" s="13" t="s">
        <v>75</v>
      </c>
      <c r="C17" s="8" t="s">
        <v>331</v>
      </c>
      <c r="D17" s="14" t="n">
        <f aca="false">ABS(Regression_Data!E19-Macro_Shift!C5)</f>
        <v>0</v>
      </c>
      <c r="E17" s="13" t="str">
        <f aca="false">IF(D17&lt;0.00001,"PASS","FAIL")</f>
        <v>PASS</v>
      </c>
      <c r="F17" s="15" t="s">
        <v>332</v>
      </c>
    </row>
    <row r="18" customFormat="false" ht="60" hidden="false" customHeight="true" outlineLevel="0" collapsed="false">
      <c r="B18" s="13" t="s">
        <v>79</v>
      </c>
      <c r="C18" s="8" t="s">
        <v>333</v>
      </c>
      <c r="D18" s="14" t="n">
        <f aca="false">Emissions_Allocation!D23</f>
        <v>4.19433962264151</v>
      </c>
      <c r="E18" s="13" t="str">
        <f aca="false">IF(D18&lt;3,"PASS","FLAG")</f>
        <v>FLAG</v>
      </c>
      <c r="F18" s="15" t="s">
        <v>334</v>
      </c>
    </row>
    <row r="19" customFormat="false" ht="48" hidden="false" customHeight="true" outlineLevel="0" collapsed="false">
      <c r="B19" s="13" t="s">
        <v>83</v>
      </c>
      <c r="C19" s="8" t="s">
        <v>335</v>
      </c>
      <c r="D19" s="14" t="str">
        <f aca="false">Scenario_Mapping!D25</f>
        <v>ACTION - FW deviation is zero in every year</v>
      </c>
      <c r="E19" s="13" t="str">
        <f aca="false">IF(LEFT(D19,4)="PASS","PASS","ACTION")</f>
        <v>ACTION</v>
      </c>
      <c r="F19" s="15" t="s">
        <v>336</v>
      </c>
    </row>
    <row r="20" customFormat="false" ht="27.75" hidden="false" customHeight="true" outlineLevel="0" collapsed="false">
      <c r="B20" s="13" t="s">
        <v>87</v>
      </c>
      <c r="C20" s="8" t="s">
        <v>337</v>
      </c>
      <c r="D20" s="14" t="str">
        <f aca="false">EU_k_Calibration!C8</f>
        <v>A</v>
      </c>
      <c r="E20" s="13" t="str">
        <f aca="false">IF(D20="A","Anchor A (transition-only, +0.5% relative)","Anchor B (disorderly 2050, +2.5% relative)")</f>
        <v>Anchor A (transition-only, +0.5% relative)</v>
      </c>
      <c r="F20" s="15" t="s">
        <v>338</v>
      </c>
    </row>
    <row r="21" customFormat="false" ht="27.75" hidden="false" customHeight="true" outlineLevel="0" collapsed="false">
      <c r="B21" s="13" t="s">
        <v>91</v>
      </c>
      <c r="C21" s="8" t="s">
        <v>339</v>
      </c>
      <c r="D21" s="14" t="n">
        <f aca="false">EU_k_Calibration!C68</f>
        <v>129.705328364384</v>
      </c>
      <c r="E21" s="13" t="str">
        <f aca="false">IF(D21&lt;10,"PASS","DISCLOSE")</f>
        <v>DISCLOSE</v>
      </c>
      <c r="F21" s="15" t="s">
        <v>340</v>
      </c>
    </row>
    <row r="22" customFormat="false" ht="36" hidden="false" customHeight="true" outlineLevel="0" collapsed="false">
      <c r="B22" s="13" t="s">
        <v>95</v>
      </c>
      <c r="C22" s="8" t="s">
        <v>341</v>
      </c>
      <c r="D22" s="14" t="n">
        <f aca="false">k_MultiAnchor!C17</f>
        <v>0</v>
      </c>
      <c r="E22" s="13" t="str">
        <f aca="false">IF(D22=0,"log (v4 default)","non-default")</f>
        <v>log (v4 default)</v>
      </c>
      <c r="F22" s="15" t="s">
        <v>342</v>
      </c>
    </row>
    <row r="23" customFormat="false" ht="60" hidden="false" customHeight="true" outlineLevel="0" collapsed="false">
      <c r="B23" s="13" t="s">
        <v>98</v>
      </c>
      <c r="C23" s="8" t="s">
        <v>343</v>
      </c>
      <c r="D23" s="14" t="n">
        <f aca="false">k_MultiAnchor!C40</f>
        <v>47.4590801078599</v>
      </c>
      <c r="E23" s="16" t="str">
        <f aca="false">IF(D23&lt;3,"consistent","REJECTED")</f>
        <v>REJECTED</v>
      </c>
      <c r="F23" s="15" t="s">
        <v>344</v>
      </c>
    </row>
    <row r="24" customFormat="false" ht="36" hidden="false" customHeight="true" outlineLevel="0" collapsed="false">
      <c r="B24" s="13" t="s">
        <v>102</v>
      </c>
      <c r="C24" s="8" t="s">
        <v>345</v>
      </c>
      <c r="D24" s="14" t="n">
        <f aca="false">k_MultiAnchor!C61</f>
        <v>0</v>
      </c>
      <c r="E24" s="13" t="str">
        <f aca="false">IF(k_MultiAnchor!C60&gt;100,"OFF","ON")</f>
        <v>OFF</v>
      </c>
      <c r="F24" s="15" t="s">
        <v>346</v>
      </c>
    </row>
    <row r="25" customFormat="false" ht="48" hidden="false" customHeight="true" outlineLevel="0" collapsed="false">
      <c r="B25" s="13" t="s">
        <v>199</v>
      </c>
      <c r="C25" s="8" t="s">
        <v>347</v>
      </c>
      <c r="D25" s="14" t="str">
        <f aca="false">Physical_Exposure!H18</f>
        <v>PASS</v>
      </c>
      <c r="E25" s="13" t="str">
        <f aca="false">IF(D25="PASS","PASS","FAIL")</f>
        <v>PASS</v>
      </c>
      <c r="F25" s="15" t="s">
        <v>348</v>
      </c>
    </row>
    <row r="26" customFormat="false" ht="27.75" hidden="false" customHeight="true" outlineLevel="0" collapsed="false">
      <c r="B26" s="13" t="s">
        <v>204</v>
      </c>
      <c r="C26" s="8" t="s">
        <v>349</v>
      </c>
      <c r="D26" s="14" t="n">
        <f aca="false">StressedPD_Sector!G102</f>
        <v>0</v>
      </c>
      <c r="E26" s="16" t="str">
        <f aca="false">IF(D26=0,"PASS","FAIL")</f>
        <v>PASS</v>
      </c>
      <c r="F26" s="15" t="s">
        <v>350</v>
      </c>
    </row>
    <row r="27" customFormat="false" ht="48" hidden="false" customHeight="true" outlineLevel="0" collapsed="false">
      <c r="B27" s="13" t="s">
        <v>210</v>
      </c>
      <c r="C27" s="8" t="s">
        <v>351</v>
      </c>
      <c r="D27" s="14" t="n">
        <f aca="false">StressedPD_Sector!G103</f>
        <v>0</v>
      </c>
      <c r="E27" s="13" t="str">
        <f aca="false">IF(D27=0,"PASS","FAIL")</f>
        <v>PASS</v>
      </c>
      <c r="F27" s="15" t="s">
        <v>352</v>
      </c>
    </row>
    <row r="28" customFormat="false" ht="48" hidden="false" customHeight="true" outlineLevel="0" collapsed="false">
      <c r="B28" s="13" t="s">
        <v>216</v>
      </c>
      <c r="C28" s="8" t="s">
        <v>353</v>
      </c>
      <c r="D28" s="14" t="n">
        <f aca="false">Physical_Hazard!E34</f>
        <v>1.64</v>
      </c>
      <c r="E28" s="13" t="str">
        <f aca="false">IF(Physical_Hazard!D30&gt;0,"FLAG","FLAG")</f>
        <v>FLAG</v>
      </c>
      <c r="F28" s="15" t="s">
        <v>354</v>
      </c>
    </row>
    <row r="30" customFormat="false" ht="15" hidden="false" customHeight="true" outlineLevel="0" collapsed="false">
      <c r="C30" s="13" t="s">
        <v>355</v>
      </c>
      <c r="E30" s="16" t="n">
        <f aca="false">COUNTIF(E5:E28,"FAIL")+COUNTIF(E5:E28,"ACTION")+COUNTIF(E5:E28,"FLAG")+COUNTIF(E5:E28,"REJECTED")</f>
        <v>4</v>
      </c>
    </row>
    <row r="32" customFormat="false" ht="42.75" hidden="false" customHeight="true" outlineLevel="0" collapsed="false">
      <c r="C32" s="9"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Z11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5" topLeftCell="C16" activePane="bottomRight" state="frozen"/>
      <selection pane="topLeft" activeCell="A1" activeCellId="0" sqref="A1"/>
      <selection pane="topRight" activeCell="C1" activeCellId="0" sqref="C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2" min="2" style="1" width="7"/>
    <col collapsed="false" customWidth="true" hidden="false" outlineLevel="0" max="3" min="3" style="1" width="40"/>
    <col collapsed="false" customWidth="true" hidden="false" outlineLevel="0" max="4" min="4" style="1" width="13"/>
    <col collapsed="false" customWidth="true" hidden="false" outlineLevel="0" max="6" min="5" style="1" width="10"/>
    <col collapsed="false" customWidth="true" hidden="false" outlineLevel="0" max="27" min="7" style="1" width="10.51"/>
  </cols>
  <sheetData>
    <row r="1" customFormat="false" ht="21.75" hidden="false" customHeight="true" outlineLevel="0" collapsed="false">
      <c r="B1" s="2" t="s">
        <v>357</v>
      </c>
      <c r="C1" s="3"/>
      <c r="D1" s="3"/>
      <c r="E1" s="3"/>
      <c r="F1" s="3"/>
      <c r="G1" s="3"/>
      <c r="H1" s="3"/>
      <c r="I1" s="3"/>
      <c r="J1" s="3"/>
      <c r="K1" s="3"/>
      <c r="L1" s="3"/>
      <c r="M1" s="3"/>
      <c r="N1" s="3"/>
      <c r="O1" s="3"/>
      <c r="P1" s="3"/>
      <c r="Q1" s="3"/>
      <c r="R1" s="3"/>
      <c r="S1" s="3"/>
      <c r="T1" s="3"/>
      <c r="U1" s="3"/>
      <c r="V1" s="3"/>
      <c r="W1" s="3"/>
      <c r="X1" s="3"/>
      <c r="Y1" s="3"/>
      <c r="Z1" s="3"/>
    </row>
    <row r="2" customFormat="false" ht="512.25" hidden="false" customHeight="true" outlineLevel="0" collapsed="false">
      <c r="B2" s="9" t="s">
        <v>358</v>
      </c>
    </row>
    <row r="4" customFormat="false" ht="15" hidden="false" customHeight="true" outlineLevel="0" collapsed="false">
      <c r="B4" s="13" t="s">
        <v>359</v>
      </c>
      <c r="C4" s="17" t="n">
        <f aca="false">Scenario_Mapping!C39</f>
        <v>2040</v>
      </c>
    </row>
    <row r="5" customFormat="false" ht="15" hidden="false" customHeight="true" outlineLevel="0" collapsed="false">
      <c r="B5" s="13" t="s">
        <v>360</v>
      </c>
      <c r="C5" s="18" t="n">
        <f aca="false">k_MultiAnchor!C20</f>
        <v>0.263009761023414</v>
      </c>
    </row>
    <row r="6" customFormat="false" ht="15" hidden="false" customHeight="true" outlineLevel="0" collapsed="false">
      <c r="B6" s="13" t="s">
        <v>361</v>
      </c>
      <c r="C6" s="19" t="n">
        <f aca="false">Scenario_Mapping!C15</f>
        <v>1.35</v>
      </c>
    </row>
    <row r="7" customFormat="false" ht="15" hidden="false" customHeight="true" outlineLevel="0" collapsed="false">
      <c r="B7" s="13" t="s">
        <v>362</v>
      </c>
      <c r="C7" s="20" t="n">
        <f aca="false">k_MultiAnchor!C17</f>
        <v>0</v>
      </c>
    </row>
    <row r="8" customFormat="false" ht="30" hidden="false" customHeight="true" outlineLevel="0" collapsed="false">
      <c r="C8" s="6" t="s">
        <v>363</v>
      </c>
      <c r="D8" s="6" t="s">
        <v>364</v>
      </c>
      <c r="E8" s="6" t="s">
        <v>365</v>
      </c>
      <c r="F8" s="6" t="s">
        <v>366</v>
      </c>
    </row>
    <row r="9" customFormat="false" ht="15" hidden="false" customHeight="true" outlineLevel="0" collapsed="false">
      <c r="B9" s="21" t="s">
        <v>367</v>
      </c>
      <c r="C9" s="22" t="n">
        <f aca="false">INDEX(NGFS_CarbonPrice!$C$6:$F$9,MATCH(C$8,NGFS_CarbonPrice!$B$6:$B$9,0),MATCH($C$4,NGFS_CarbonPrice!$C$5:$F$5,0))</f>
        <v>420</v>
      </c>
      <c r="D9" s="22" t="n">
        <f aca="false">INDEX(NGFS_CarbonPrice!$C$6:$F$9,MATCH(D$8,NGFS_CarbonPrice!$B$6:$B$9,0),MATCH($C$4,NGFS_CarbonPrice!$C$5:$F$5,0))</f>
        <v>165</v>
      </c>
      <c r="E9" s="22" t="n">
        <f aca="false">INDEX(NGFS_CarbonPrice!$C$6:$F$9,MATCH(E$8,NGFS_CarbonPrice!$B$6:$B$9,0),MATCH($C$4,NGFS_CarbonPrice!$C$5:$F$5,0))</f>
        <v>8</v>
      </c>
      <c r="F9" s="22" t="n">
        <f aca="false">INDEX(NGFS_CarbonPrice!$C$6:$F$9,MATCH(F$8,NGFS_CarbonPrice!$B$6:$B$9,0),MATCH($C$4,NGFS_CarbonPrice!$C$5:$F$5,0))</f>
        <v>35</v>
      </c>
    </row>
    <row r="10" customFormat="false" ht="15" hidden="false" customHeight="true" outlineLevel="0" collapsed="false">
      <c r="B10" s="21" t="s">
        <v>368</v>
      </c>
      <c r="C10" s="23" t="n">
        <f aca="false">C9*$C$6</f>
        <v>567</v>
      </c>
      <c r="D10" s="23" t="n">
        <f aca="false">D9*$C$6</f>
        <v>222.75</v>
      </c>
      <c r="E10" s="23" t="n">
        <f aca="false">E9*$C$6</f>
        <v>10.8</v>
      </c>
      <c r="F10" s="23" t="n">
        <f aca="false">F9*$C$6</f>
        <v>47.25</v>
      </c>
    </row>
    <row r="11" customFormat="false" ht="15" hidden="false" customHeight="true" outlineLevel="0" collapsed="false">
      <c r="B11" s="21" t="s">
        <v>369</v>
      </c>
      <c r="C11" s="19" t="n">
        <f aca="false">INDEX(Dynamic_Adjust!$C$6:$C$9,MATCH(C$8,Dynamic_Adjust!$B$6:$B$9,0))</f>
        <v>1</v>
      </c>
      <c r="D11" s="19" t="n">
        <f aca="false">INDEX(Dynamic_Adjust!$C$6:$C$9,MATCH(D$8,Dynamic_Adjust!$B$6:$B$9,0))</f>
        <v>1</v>
      </c>
      <c r="E11" s="19" t="n">
        <f aca="false">INDEX(Dynamic_Adjust!$C$6:$C$9,MATCH(E$8,Dynamic_Adjust!$B$6:$B$9,0))</f>
        <v>1</v>
      </c>
      <c r="F11" s="19" t="n">
        <f aca="false">INDEX(Dynamic_Adjust!$C$6:$C$9,MATCH(F$8,Dynamic_Adjust!$B$6:$B$9,0))</f>
        <v>1</v>
      </c>
    </row>
    <row r="12" customFormat="false" ht="15" hidden="false" customHeight="true" outlineLevel="0" collapsed="false">
      <c r="B12" s="21" t="s">
        <v>370</v>
      </c>
      <c r="C12" s="19" t="n">
        <f aca="false">INDEX(Dynamic_Adjust!$D$6:$D$9,MATCH(C$8,Dynamic_Adjust!$B$6:$B$9,0))</f>
        <v>1</v>
      </c>
      <c r="D12" s="19" t="n">
        <f aca="false">INDEX(Dynamic_Adjust!$D$6:$D$9,MATCH(D$8,Dynamic_Adjust!$B$6:$B$9,0))</f>
        <v>1</v>
      </c>
      <c r="E12" s="19" t="n">
        <f aca="false">INDEX(Dynamic_Adjust!$D$6:$D$9,MATCH(E$8,Dynamic_Adjust!$B$6:$B$9,0))</f>
        <v>1</v>
      </c>
      <c r="F12" s="19" t="n">
        <f aca="false">INDEX(Dynamic_Adjust!$D$6:$D$9,MATCH(F$8,Dynamic_Adjust!$B$6:$B$9,0))</f>
        <v>1</v>
      </c>
    </row>
    <row r="13" customFormat="false" ht="15" hidden="false" customHeight="true" outlineLevel="0" collapsed="false">
      <c r="B13" s="21" t="s">
        <v>371</v>
      </c>
      <c r="C13" s="24" t="n">
        <f aca="false">INDEX(Macro_Shift!$E$15:$E$18,MATCH(C$8,Macro_Shift!$B$15:$B$18,0))</f>
        <v>0.00952011942990949</v>
      </c>
      <c r="D13" s="24" t="n">
        <f aca="false">INDEX(Macro_Shift!$E$15:$E$18,MATCH(D$8,Macro_Shift!$B$15:$B$18,0))</f>
        <v>0.019040238859819</v>
      </c>
      <c r="E13" s="24" t="n">
        <f aca="false">INDEX(Macro_Shift!$E$15:$E$18,MATCH(E$8,Macro_Shift!$B$15:$B$18,0))</f>
        <v>-0</v>
      </c>
      <c r="F13" s="24" t="n">
        <f aca="false">INDEX(Macro_Shift!$E$15:$E$18,MATCH(F$8,Macro_Shift!$B$15:$B$18,0))</f>
        <v>-0</v>
      </c>
    </row>
    <row r="15" customFormat="false" ht="31.5" hidden="false" customHeight="true" outlineLevel="0" collapsed="false">
      <c r="B15" s="6" t="s">
        <v>372</v>
      </c>
      <c r="C15" s="6" t="s">
        <v>373</v>
      </c>
      <c r="D15" s="6" t="s">
        <v>374</v>
      </c>
      <c r="E15" s="6" t="s">
        <v>375</v>
      </c>
      <c r="F15" s="6" t="s">
        <v>376</v>
      </c>
      <c r="G15" s="6" t="s">
        <v>377</v>
      </c>
      <c r="H15" s="6" t="s">
        <v>378</v>
      </c>
      <c r="I15" s="6" t="s">
        <v>379</v>
      </c>
      <c r="J15" s="6" t="s">
        <v>380</v>
      </c>
      <c r="K15" s="6" t="s">
        <v>381</v>
      </c>
      <c r="L15" s="6" t="s">
        <v>382</v>
      </c>
      <c r="M15" s="6" t="s">
        <v>383</v>
      </c>
      <c r="N15" s="6" t="s">
        <v>384</v>
      </c>
      <c r="O15" s="6" t="s">
        <v>385</v>
      </c>
      <c r="P15" s="6" t="s">
        <v>386</v>
      </c>
      <c r="Q15" s="6" t="s">
        <v>387</v>
      </c>
      <c r="R15" s="6" t="s">
        <v>388</v>
      </c>
      <c r="S15" s="6" t="s">
        <v>389</v>
      </c>
      <c r="T15" s="6" t="s">
        <v>390</v>
      </c>
      <c r="U15" s="6" t="s">
        <v>391</v>
      </c>
      <c r="V15" s="6" t="s">
        <v>392</v>
      </c>
      <c r="W15" s="6" t="s">
        <v>393</v>
      </c>
      <c r="X15" s="6" t="s">
        <v>394</v>
      </c>
      <c r="Y15" s="6" t="s">
        <v>395</v>
      </c>
      <c r="Z15" s="6" t="s">
        <v>396</v>
      </c>
    </row>
    <row r="16" customFormat="false" ht="15" hidden="false" customHeight="true" outlineLevel="0" collapsed="false">
      <c r="B16" s="13" t="s">
        <v>397</v>
      </c>
      <c r="C16" s="21" t="s">
        <v>398</v>
      </c>
      <c r="D16" s="25" t="n">
        <f aca="false">Oman_Intensity!F6</f>
        <v>717.449754858143</v>
      </c>
      <c r="E16" s="26" t="n">
        <f aca="false">Oman_Intensity!G6</f>
        <v>0.25</v>
      </c>
      <c r="F16" s="20" t="n">
        <f aca="false">Oman_Intensity!H6</f>
        <v>1</v>
      </c>
      <c r="G16" s="14" t="n">
        <f aca="false">IF($D16&lt;=0,0,C$10*$D16*C$11*(1-$E16)/(1000000*C$12))</f>
        <v>0.305095508253425</v>
      </c>
      <c r="H16" s="14" t="n">
        <f aca="false">IF($D16&lt;=0,0,D$10*$D16*D$11*(1-$E16)/(1000000*D$12))</f>
        <v>0.119858949670988</v>
      </c>
      <c r="I16" s="14" t="n">
        <f aca="false">IF($D16&lt;=0,0,E$10*$D16*E$11*(1-$E16)/(1000000*E$12))</f>
        <v>0.00581134301435095</v>
      </c>
      <c r="J16" s="14" t="n">
        <f aca="false">IF($D16&lt;=0,0,F$10*$D16*F$11*(1-$E16)/(1000000*F$12))</f>
        <v>0.0254246256877854</v>
      </c>
      <c r="K16" s="24" t="n">
        <f aca="false">Physical_Exposure!D25</f>
        <v>0.0164764753794968</v>
      </c>
      <c r="L16" s="24" t="n">
        <f aca="false">Physical_Exposure!E25</f>
        <v>0.0182823097380213</v>
      </c>
      <c r="M16" s="24" t="n">
        <f aca="false">Physical_Exposure!F25</f>
        <v>0.0276149214746485</v>
      </c>
      <c r="N16" s="24" t="n">
        <f aca="false">Physical_Exposure!G25</f>
        <v>0.0229917975234853</v>
      </c>
      <c r="O16" s="14" t="n">
        <f aca="false">MIN(G16+K16,k_MultiAnchor!$C$60)</f>
        <v>0.321571983632922</v>
      </c>
      <c r="P16" s="14" t="n">
        <f aca="false">MIN(H16+L16,k_MultiAnchor!$C$60)</f>
        <v>0.13814125940901</v>
      </c>
      <c r="Q16" s="14" t="n">
        <f aca="false">MIN(I16+M16,k_MultiAnchor!$C$60)</f>
        <v>0.0334262644889995</v>
      </c>
      <c r="R16" s="14" t="n">
        <f aca="false">MIN(J16+N16,k_MultiAnchor!$C$60)</f>
        <v>0.0484164232112708</v>
      </c>
      <c r="S16" s="14" t="n">
        <f aca="false">$C$5*IF(ABS($C$7)&lt;0.000000000001,LN(1+O16),((1+O16)^$C$7-1)/$C$7)</f>
        <v>0.0733328877926169</v>
      </c>
      <c r="T16" s="14" t="n">
        <f aca="false">$C$5*IF(ABS($C$7)&lt;0.000000000001,LN(1+P16),((1+P16)^$C$7-1)/$C$7)</f>
        <v>0.0340325313733216</v>
      </c>
      <c r="U16" s="14" t="n">
        <f aca="false">$C$5*IF(ABS($C$7)&lt;0.000000000001,LN(1+Q16),((1+Q16)^$C$7-1)/$C$7)</f>
        <v>0.00864769575697404</v>
      </c>
      <c r="V16" s="14" t="n">
        <f aca="false">$C$5*IF(ABS($C$7)&lt;0.000000000001,LN(1+R16),((1+R16)^$C$7-1)/$C$7)</f>
        <v>0.0124353269974774</v>
      </c>
      <c r="W16" s="14" t="n">
        <f aca="false">C$13*$F16</f>
        <v>0.00952011942990949</v>
      </c>
      <c r="X16" s="14" t="n">
        <f aca="false">D$13*$F16</f>
        <v>0.019040238859819</v>
      </c>
      <c r="Y16" s="14" t="n">
        <f aca="false">E$13*$F16</f>
        <v>-0</v>
      </c>
      <c r="Z16" s="14" t="n">
        <f aca="false">F$13*$F16</f>
        <v>-0</v>
      </c>
    </row>
    <row r="17" customFormat="false" ht="15" hidden="false" customHeight="true" outlineLevel="0" collapsed="false">
      <c r="B17" s="13" t="s">
        <v>399</v>
      </c>
      <c r="C17" s="21" t="s">
        <v>400</v>
      </c>
      <c r="D17" s="25" t="n">
        <f aca="false">Oman_Intensity!F7</f>
        <v>1185.10067398957</v>
      </c>
      <c r="E17" s="26" t="n">
        <f aca="false">Oman_Intensity!G7</f>
        <v>0.05</v>
      </c>
      <c r="F17" s="20" t="n">
        <f aca="false">Oman_Intensity!H7</f>
        <v>1</v>
      </c>
      <c r="G17" s="14" t="n">
        <f aca="false">IF($D17&lt;=0,0,C$10*$D17*C$11*(1-$E17)/(1000000*C$12))</f>
        <v>0.638354478044483</v>
      </c>
      <c r="H17" s="14" t="n">
        <f aca="false">IF($D17&lt;=0,0,D$10*$D17*D$11*(1-$E17)/(1000000*D$12))</f>
        <v>0.250782116374618</v>
      </c>
      <c r="I17" s="14" t="n">
        <f aca="false">IF($D17&lt;=0,0,E$10*$D17*E$11*(1-$E17)/(1000000*E$12))</f>
        <v>0.012159132915133</v>
      </c>
      <c r="J17" s="14" t="n">
        <f aca="false">IF($D17&lt;=0,0,F$10*$D17*F$11*(1-$E17)/(1000000*F$12))</f>
        <v>0.0531962065037069</v>
      </c>
      <c r="K17" s="24" t="n">
        <f aca="false">Physical_Exposure!D26</f>
        <v>0.00649948135817854</v>
      </c>
      <c r="L17" s="24" t="n">
        <f aca="false">Physical_Exposure!E26</f>
        <v>0.00726632394059255</v>
      </c>
      <c r="M17" s="24" t="n">
        <f aca="false">Physical_Exposure!F26</f>
        <v>0.0112925703248009</v>
      </c>
      <c r="N17" s="24" t="n">
        <f aca="false">Physical_Exposure!G26</f>
        <v>0.00928651453355895</v>
      </c>
      <c r="O17" s="14" t="n">
        <f aca="false">MIN(G17+K17,k_MultiAnchor!$C$60)</f>
        <v>0.644853959402662</v>
      </c>
      <c r="P17" s="14" t="n">
        <f aca="false">MIN(H17+L17,k_MultiAnchor!$C$60)</f>
        <v>0.258048440315211</v>
      </c>
      <c r="Q17" s="14" t="n">
        <f aca="false">MIN(I17+M17,k_MultiAnchor!$C$60)</f>
        <v>0.0234517032399339</v>
      </c>
      <c r="R17" s="14" t="n">
        <f aca="false">MIN(J17+N17,k_MultiAnchor!$C$60)</f>
        <v>0.0624827210372659</v>
      </c>
      <c r="S17" s="14" t="n">
        <f aca="false">$C$5*IF(ABS($C$7)&lt;0.000000000001,LN(1+O17),((1+O17)^$C$7-1)/$C$7)</f>
        <v>0.130887228861724</v>
      </c>
      <c r="T17" s="14" t="n">
        <f aca="false">$C$5*IF(ABS($C$7)&lt;0.000000000001,LN(1+P17),((1+P17)^$C$7-1)/$C$7)</f>
        <v>0.0603769582183132</v>
      </c>
      <c r="U17" s="14" t="n">
        <f aca="false">$C$5*IF(ABS($C$7)&lt;0.000000000001,LN(1+Q17),((1+Q17)^$C$7-1)/$C$7)</f>
        <v>0.00609681274278547</v>
      </c>
      <c r="V17" s="14" t="n">
        <f aca="false">$C$5*IF(ABS($C$7)&lt;0.000000000001,LN(1+R17),((1+R17)^$C$7-1)/$C$7)</f>
        <v>0.0159405900510751</v>
      </c>
      <c r="W17" s="14" t="n">
        <f aca="false">C$13*$F17</f>
        <v>0.00952011942990949</v>
      </c>
      <c r="X17" s="14" t="n">
        <f aca="false">D$13*$F17</f>
        <v>0.019040238859819</v>
      </c>
      <c r="Y17" s="14" t="n">
        <f aca="false">E$13*$F17</f>
        <v>-0</v>
      </c>
      <c r="Z17" s="14" t="n">
        <f aca="false">F$13*$F17</f>
        <v>-0</v>
      </c>
    </row>
    <row r="18" customFormat="false" ht="15" hidden="false" customHeight="true" outlineLevel="0" collapsed="false">
      <c r="B18" s="13" t="s">
        <v>401</v>
      </c>
      <c r="C18" s="21" t="s">
        <v>402</v>
      </c>
      <c r="D18" s="25" t="n">
        <f aca="false">Oman_Intensity!F8</f>
        <v>1334.90360594737</v>
      </c>
      <c r="E18" s="26" t="n">
        <f aca="false">Oman_Intensity!G8</f>
        <v>0.3</v>
      </c>
      <c r="F18" s="20" t="n">
        <f aca="false">Oman_Intensity!H8</f>
        <v>1</v>
      </c>
      <c r="G18" s="14" t="n">
        <f aca="false">IF($D18&lt;=0,0,C$10*$D18*C$11*(1-$E18)/(1000000*C$12))</f>
        <v>0.52982324120051</v>
      </c>
      <c r="H18" s="14" t="n">
        <f aca="false">IF($D18&lt;=0,0,D$10*$D18*D$11*(1-$E18)/(1000000*D$12))</f>
        <v>0.208144844757343</v>
      </c>
      <c r="I18" s="14" t="n">
        <f aca="false">IF($D18&lt;=0,0,E$10*$D18*E$11*(1-$E18)/(1000000*E$12))</f>
        <v>0.0100918712609621</v>
      </c>
      <c r="J18" s="14" t="n">
        <f aca="false">IF($D18&lt;=0,0,F$10*$D18*F$11*(1-$E18)/(1000000*F$12))</f>
        <v>0.0441519367667091</v>
      </c>
      <c r="K18" s="24" t="n">
        <f aca="false">Physical_Exposure!D27</f>
        <v>0.0109114361874652</v>
      </c>
      <c r="L18" s="24" t="n">
        <f aca="false">Physical_Exposure!E27</f>
        <v>0.0122894130904523</v>
      </c>
      <c r="M18" s="24" t="n">
        <f aca="false">Physical_Exposure!F27</f>
        <v>0.0196164248609235</v>
      </c>
      <c r="N18" s="24" t="n">
        <f aca="false">Physical_Exposure!G27</f>
        <v>0.0159492721981761</v>
      </c>
      <c r="O18" s="14" t="n">
        <f aca="false">MIN(G18+K18,k_MultiAnchor!$C$60)</f>
        <v>0.540734677387975</v>
      </c>
      <c r="P18" s="14" t="n">
        <f aca="false">MIN(H18+L18,k_MultiAnchor!$C$60)</f>
        <v>0.220434257847795</v>
      </c>
      <c r="Q18" s="14" t="n">
        <f aca="false">MIN(I18+M18,k_MultiAnchor!$C$60)</f>
        <v>0.0297082961218856</v>
      </c>
      <c r="R18" s="14" t="n">
        <f aca="false">MIN(J18+N18,k_MultiAnchor!$C$60)</f>
        <v>0.0601012089648852</v>
      </c>
      <c r="S18" s="14" t="n">
        <f aca="false">$C$5*IF(ABS($C$7)&lt;0.000000000001,LN(1+O18),((1+O18)^$C$7-1)/$C$7)</f>
        <v>0.113688432527068</v>
      </c>
      <c r="T18" s="14" t="n">
        <f aca="false">$C$5*IF(ABS($C$7)&lt;0.000000000001,LN(1+P18),((1+P18)^$C$7-1)/$C$7)</f>
        <v>0.0523933182562283</v>
      </c>
      <c r="U18" s="14" t="n">
        <f aca="false">$C$5*IF(ABS($C$7)&lt;0.000000000001,LN(1+Q18),((1+Q18)^$C$7-1)/$C$7)</f>
        <v>0.00769975658814667</v>
      </c>
      <c r="V18" s="14" t="n">
        <f aca="false">$C$5*IF(ABS($C$7)&lt;0.000000000001,LN(1+R18),((1+R18)^$C$7-1)/$C$7)</f>
        <v>0.0153504026148936</v>
      </c>
      <c r="W18" s="14" t="n">
        <f aca="false">C$13*$F18</f>
        <v>0.00952011942990949</v>
      </c>
      <c r="X18" s="14" t="n">
        <f aca="false">D$13*$F18</f>
        <v>0.019040238859819</v>
      </c>
      <c r="Y18" s="14" t="n">
        <f aca="false">E$13*$F18</f>
        <v>-0</v>
      </c>
      <c r="Z18" s="14" t="n">
        <f aca="false">F$13*$F18</f>
        <v>-0</v>
      </c>
    </row>
    <row r="19" customFormat="false" ht="15" hidden="false" customHeight="true" outlineLevel="0" collapsed="false">
      <c r="B19" s="13" t="s">
        <v>403</v>
      </c>
      <c r="C19" s="21" t="s">
        <v>88</v>
      </c>
      <c r="D19" s="25" t="n">
        <f aca="false">Oman_Intensity!F9</f>
        <v>2087.94479673583</v>
      </c>
      <c r="E19" s="26" t="n">
        <f aca="false">Oman_Intensity!G9</f>
        <v>0.3</v>
      </c>
      <c r="F19" s="20" t="n">
        <f aca="false">Oman_Intensity!H9</f>
        <v>1</v>
      </c>
      <c r="G19" s="14" t="n">
        <f aca="false">IF($D19&lt;=0,0,C$10*$D19*C$11*(1-$E19)/(1000000*C$12))</f>
        <v>0.828705289824451</v>
      </c>
      <c r="H19" s="14" t="n">
        <f aca="false">IF($D19&lt;=0,0,D$10*$D19*D$11*(1-$E19)/(1000000*D$12))</f>
        <v>0.325562792431034</v>
      </c>
      <c r="I19" s="14" t="n">
        <f aca="false">IF($D19&lt;=0,0,E$10*$D19*E$11*(1-$E19)/(1000000*E$12))</f>
        <v>0.0157848626633229</v>
      </c>
      <c r="J19" s="14" t="n">
        <f aca="false">IF($D19&lt;=0,0,F$10*$D19*F$11*(1-$E19)/(1000000*F$12))</f>
        <v>0.0690587741520375</v>
      </c>
      <c r="K19" s="24" t="n">
        <f aca="false">Physical_Exposure!D28</f>
        <v>0.00642426513281469</v>
      </c>
      <c r="L19" s="24" t="n">
        <f aca="false">Physical_Exposure!E28</f>
        <v>0.00712481315791318</v>
      </c>
      <c r="M19" s="24" t="n">
        <f aca="false">Physical_Exposure!F28</f>
        <v>0.0107226968673174</v>
      </c>
      <c r="N19" s="24" t="n">
        <f aca="false">Physical_Exposure!G28</f>
        <v>0.00894477998654671</v>
      </c>
      <c r="O19" s="14" t="n">
        <f aca="false">MIN(G19+K19,k_MultiAnchor!$C$60)</f>
        <v>0.835129554957265</v>
      </c>
      <c r="P19" s="14" t="n">
        <f aca="false">MIN(H19+L19,k_MultiAnchor!$C$60)</f>
        <v>0.332687605588947</v>
      </c>
      <c r="Q19" s="14" t="n">
        <f aca="false">MIN(I19+M19,k_MultiAnchor!$C$60)</f>
        <v>0.0265075595306403</v>
      </c>
      <c r="R19" s="14" t="n">
        <f aca="false">MIN(J19+N19,k_MultiAnchor!$C$60)</f>
        <v>0.0780035541385843</v>
      </c>
      <c r="S19" s="14" t="n">
        <f aca="false">$C$5*IF(ABS($C$7)&lt;0.000000000001,LN(1+O19),((1+O19)^$C$7-1)/$C$7)</f>
        <v>0.15967719241246</v>
      </c>
      <c r="T19" s="14" t="n">
        <f aca="false">$C$5*IF(ABS($C$7)&lt;0.000000000001,LN(1+P19),((1+P19)^$C$7-1)/$C$7)</f>
        <v>0.0755357877480243</v>
      </c>
      <c r="U19" s="14" t="n">
        <f aca="false">$C$5*IF(ABS($C$7)&lt;0.000000000001,LN(1+Q19),((1+Q19)^$C$7-1)/$C$7)</f>
        <v>0.00688094601086487</v>
      </c>
      <c r="V19" s="14" t="n">
        <f aca="false">$C$5*IF(ABS($C$7)&lt;0.000000000001,LN(1+R19),((1+R19)^$C$7-1)/$C$7)</f>
        <v>0.019754865524891</v>
      </c>
      <c r="W19" s="14" t="n">
        <f aca="false">C$13*$F19</f>
        <v>0.00952011942990949</v>
      </c>
      <c r="X19" s="14" t="n">
        <f aca="false">D$13*$F19</f>
        <v>0.019040238859819</v>
      </c>
      <c r="Y19" s="14" t="n">
        <f aca="false">E$13*$F19</f>
        <v>-0</v>
      </c>
      <c r="Z19" s="14" t="n">
        <f aca="false">F$13*$F19</f>
        <v>-0</v>
      </c>
    </row>
    <row r="20" customFormat="false" ht="15" hidden="false" customHeight="true" outlineLevel="0" collapsed="false">
      <c r="B20" s="13" t="s">
        <v>404</v>
      </c>
      <c r="C20" s="21" t="s">
        <v>405</v>
      </c>
      <c r="D20" s="25" t="n">
        <f aca="false">Oman_Intensity!F10</f>
        <v>8926.9691855998</v>
      </c>
      <c r="E20" s="26" t="n">
        <f aca="false">Oman_Intensity!G10</f>
        <v>0.8</v>
      </c>
      <c r="F20" s="20" t="n">
        <f aca="false">Oman_Intensity!H10</f>
        <v>1</v>
      </c>
      <c r="G20" s="14" t="n">
        <f aca="false">IF($D20&lt;=0,0,C$10*$D20*C$11*(1-$E20)/(1000000*C$12))</f>
        <v>1.01231830564702</v>
      </c>
      <c r="H20" s="14" t="n">
        <f aca="false">IF($D20&lt;=0,0,D$10*$D20*D$11*(1-$E20)/(1000000*D$12))</f>
        <v>0.397696477218471</v>
      </c>
      <c r="I20" s="14" t="n">
        <f aca="false">IF($D20&lt;=0,0,E$10*$D20*E$11*(1-$E20)/(1000000*E$12))</f>
        <v>0.0192822534408956</v>
      </c>
      <c r="J20" s="14" t="n">
        <f aca="false">IF($D20&lt;=0,0,F$10*$D20*F$11*(1-$E20)/(1000000*F$12))</f>
        <v>0.0843598588039181</v>
      </c>
      <c r="K20" s="24" t="n">
        <f aca="false">Physical_Exposure!D29</f>
        <v>0.00806054206275284</v>
      </c>
      <c r="L20" s="24" t="n">
        <f aca="false">Physical_Exposure!E29</f>
        <v>0.00891954488879266</v>
      </c>
      <c r="M20" s="24" t="n">
        <f aca="false">Physical_Exposure!F29</f>
        <v>0.0133150128160429</v>
      </c>
      <c r="N20" s="24" t="n">
        <f aca="false">Physical_Exposure!G29</f>
        <v>0.0111458563458659</v>
      </c>
      <c r="O20" s="14" t="n">
        <f aca="false">MIN(G20+K20,k_MultiAnchor!$C$60)</f>
        <v>1.02037884770977</v>
      </c>
      <c r="P20" s="14" t="n">
        <f aca="false">MIN(H20+L20,k_MultiAnchor!$C$60)</f>
        <v>0.406616022107264</v>
      </c>
      <c r="Q20" s="14" t="n">
        <f aca="false">MIN(I20+M20,k_MultiAnchor!$C$60)</f>
        <v>0.0325972662569385</v>
      </c>
      <c r="R20" s="14" t="n">
        <f aca="false">MIN(J20+N20,k_MultiAnchor!$C$60)</f>
        <v>0.0955057151497839</v>
      </c>
      <c r="S20" s="14" t="n">
        <f aca="false">$C$5*IF(ABS($C$7)&lt;0.000000000001,LN(1+O20),((1+O20)^$C$7-1)/$C$7)</f>
        <v>0.184970830880176</v>
      </c>
      <c r="T20" s="14" t="n">
        <f aca="false">$C$5*IF(ABS($C$7)&lt;0.000000000001,LN(1+P20),((1+P20)^$C$7-1)/$C$7)</f>
        <v>0.0897354680666639</v>
      </c>
      <c r="U20" s="14" t="n">
        <f aca="false">$C$5*IF(ABS($C$7)&lt;0.000000000001,LN(1+Q20),((1+Q20)^$C$7-1)/$C$7)</f>
        <v>0.00843662881087205</v>
      </c>
      <c r="V20" s="14" t="n">
        <f aca="false">$C$5*IF(ABS($C$7)&lt;0.000000000001,LN(1+R20),((1+R20)^$C$7-1)/$C$7)</f>
        <v>0.0239907238662221</v>
      </c>
      <c r="W20" s="14" t="n">
        <f aca="false">C$13*$F20</f>
        <v>0.00952011942990949</v>
      </c>
      <c r="X20" s="14" t="n">
        <f aca="false">D$13*$F20</f>
        <v>0.019040238859819</v>
      </c>
      <c r="Y20" s="14" t="n">
        <f aca="false">E$13*$F20</f>
        <v>-0</v>
      </c>
      <c r="Z20" s="14" t="n">
        <f aca="false">F$13*$F20</f>
        <v>-0</v>
      </c>
    </row>
    <row r="21" customFormat="false" ht="15" hidden="false" customHeight="true" outlineLevel="0" collapsed="false">
      <c r="B21" s="13" t="s">
        <v>406</v>
      </c>
      <c r="C21" s="21" t="s">
        <v>407</v>
      </c>
      <c r="D21" s="25" t="n">
        <f aca="false">Oman_Intensity!F11</f>
        <v>198.61821606592</v>
      </c>
      <c r="E21" s="26" t="n">
        <f aca="false">Oman_Intensity!G11</f>
        <v>0.5</v>
      </c>
      <c r="F21" s="20" t="n">
        <f aca="false">Oman_Intensity!H11</f>
        <v>1</v>
      </c>
      <c r="G21" s="14" t="n">
        <f aca="false">IF($D21&lt;=0,0,C$10*$D21*C$11*(1-$E21)/(1000000*C$12))</f>
        <v>0.0563082642546883</v>
      </c>
      <c r="H21" s="14" t="n">
        <f aca="false">IF($D21&lt;=0,0,D$10*$D21*D$11*(1-$E21)/(1000000*D$12))</f>
        <v>0.0221211038143418</v>
      </c>
      <c r="I21" s="14" t="n">
        <f aca="false">IF($D21&lt;=0,0,E$10*$D21*E$11*(1-$E21)/(1000000*E$12))</f>
        <v>0.00107253836675597</v>
      </c>
      <c r="J21" s="14" t="n">
        <f aca="false">IF($D21&lt;=0,0,F$10*$D21*F$11*(1-$E21)/(1000000*F$12))</f>
        <v>0.00469235535455736</v>
      </c>
      <c r="K21" s="24" t="n">
        <f aca="false">Physical_Exposure!D30</f>
        <v>0.0121265519068777</v>
      </c>
      <c r="L21" s="24" t="n">
        <f aca="false">Physical_Exposure!E30</f>
        <v>0.0137023923904826</v>
      </c>
      <c r="M21" s="24" t="n">
        <f aca="false">Physical_Exposure!F30</f>
        <v>0.0221149528488265</v>
      </c>
      <c r="N21" s="24" t="n">
        <f aca="false">Physical_Exposure!G30</f>
        <v>0.0178986831342618</v>
      </c>
      <c r="O21" s="14" t="n">
        <f aca="false">MIN(G21+K21,k_MultiAnchor!$C$60)</f>
        <v>0.0684348161615659</v>
      </c>
      <c r="P21" s="14" t="n">
        <f aca="false">MIN(H21+L21,k_MultiAnchor!$C$60)</f>
        <v>0.0358234962048244</v>
      </c>
      <c r="Q21" s="14" t="n">
        <f aca="false">MIN(I21+M21,k_MultiAnchor!$C$60)</f>
        <v>0.0231874912155824</v>
      </c>
      <c r="R21" s="14" t="n">
        <f aca="false">MIN(J21+N21,k_MultiAnchor!$C$60)</f>
        <v>0.0225910384888191</v>
      </c>
      <c r="S21" s="14" t="n">
        <f aca="false">$C$5*IF(ABS($C$7)&lt;0.000000000001,LN(1+O21),((1+O21)^$C$7-1)/$C$7)</f>
        <v>0.0174098756148419</v>
      </c>
      <c r="T21" s="14" t="n">
        <f aca="false">$C$5*IF(ABS($C$7)&lt;0.000000000001,LN(1+P21),((1+P21)^$C$7-1)/$C$7)</f>
        <v>0.0092570911376016</v>
      </c>
      <c r="U21" s="14" t="n">
        <f aca="false">$C$5*IF(ABS($C$7)&lt;0.000000000001,LN(1+Q21),((1+Q21)^$C$7-1)/$C$7)</f>
        <v>0.00602890595984251</v>
      </c>
      <c r="V21" s="14" t="n">
        <f aca="false">$C$5*IF(ABS($C$7)&lt;0.000000000001,LN(1+R21),((1+R21)^$C$7-1)/$C$7)</f>
        <v>0.0058755434220165</v>
      </c>
      <c r="W21" s="14" t="n">
        <f aca="false">C$13*$F21</f>
        <v>0.00952011942990949</v>
      </c>
      <c r="X21" s="14" t="n">
        <f aca="false">D$13*$F21</f>
        <v>0.019040238859819</v>
      </c>
      <c r="Y21" s="14" t="n">
        <f aca="false">E$13*$F21</f>
        <v>-0</v>
      </c>
      <c r="Z21" s="14" t="n">
        <f aca="false">F$13*$F21</f>
        <v>-0</v>
      </c>
    </row>
    <row r="22" customFormat="false" ht="15" hidden="false" customHeight="true" outlineLevel="0" collapsed="false">
      <c r="B22" s="13" t="s">
        <v>408</v>
      </c>
      <c r="C22" s="21" t="s">
        <v>409</v>
      </c>
      <c r="D22" s="25" t="n">
        <f aca="false">Oman_Intensity!F12</f>
        <v>428.016626906395</v>
      </c>
      <c r="E22" s="26" t="n">
        <f aca="false">Oman_Intensity!G12</f>
        <v>0.7</v>
      </c>
      <c r="F22" s="20" t="n">
        <f aca="false">Oman_Intensity!H12</f>
        <v>1</v>
      </c>
      <c r="G22" s="14" t="n">
        <f aca="false">IF($D22&lt;=0,0,C$10*$D22*C$11*(1-$E22)/(1000000*C$12))</f>
        <v>0.0728056282367778</v>
      </c>
      <c r="H22" s="14" t="n">
        <f aca="false">IF($D22&lt;=0,0,D$10*$D22*D$11*(1-$E22)/(1000000*D$12))</f>
        <v>0.0286022110930199</v>
      </c>
      <c r="I22" s="14" t="n">
        <f aca="false">IF($D22&lt;=0,0,E$10*$D22*E$11*(1-$E22)/(1000000*E$12))</f>
        <v>0.00138677387117672</v>
      </c>
      <c r="J22" s="14" t="n">
        <f aca="false">IF($D22&lt;=0,0,F$10*$D22*F$11*(1-$E22)/(1000000*F$12))</f>
        <v>0.00606713568639815</v>
      </c>
      <c r="K22" s="24" t="n">
        <f aca="false">Physical_Exposure!D31</f>
        <v>0.0037660891580904</v>
      </c>
      <c r="L22" s="24" t="n">
        <f aca="false">Physical_Exposure!E31</f>
        <v>0.00417810205213588</v>
      </c>
      <c r="M22" s="24" t="n">
        <f aca="false">Physical_Exposure!F31</f>
        <v>0.00628407986090539</v>
      </c>
      <c r="N22" s="24" t="n">
        <f aca="false">Physical_Exposure!G31</f>
        <v>0.00524540303800086</v>
      </c>
      <c r="O22" s="14" t="n">
        <f aca="false">MIN(G22+K22,k_MultiAnchor!$C$60)</f>
        <v>0.0765717173948682</v>
      </c>
      <c r="P22" s="14" t="n">
        <f aca="false">MIN(H22+L22,k_MultiAnchor!$C$60)</f>
        <v>0.0327803131451558</v>
      </c>
      <c r="Q22" s="14" t="n">
        <f aca="false">MIN(I22+M22,k_MultiAnchor!$C$60)</f>
        <v>0.00767085373208211</v>
      </c>
      <c r="R22" s="14" t="n">
        <f aca="false">MIN(J22+N22,k_MultiAnchor!$C$60)</f>
        <v>0.011312538724399</v>
      </c>
      <c r="S22" s="14" t="n">
        <f aca="false">$C$5*IF(ABS($C$7)&lt;0.000000000001,LN(1+O22),((1+O22)^$C$7-1)/$C$7)</f>
        <v>0.0194052958438473</v>
      </c>
      <c r="T22" s="14" t="n">
        <f aca="false">$C$5*IF(ABS($C$7)&lt;0.000000000001,LN(1+P22),((1+P22)^$C$7-1)/$C$7)</f>
        <v>0.00848324800431378</v>
      </c>
      <c r="U22" s="14" t="n">
        <f aca="false">$C$5*IF(ABS($C$7)&lt;0.000000000001,LN(1+Q22),((1+Q22)^$C$7-1)/$C$7)</f>
        <v>0.00200981074229441</v>
      </c>
      <c r="V22" s="14" t="n">
        <f aca="false">$C$5*IF(ABS($C$7)&lt;0.000000000001,LN(1+R22),((1+R22)^$C$7-1)/$C$7)</f>
        <v>0.00295860481542798</v>
      </c>
      <c r="W22" s="14" t="n">
        <f aca="false">C$13*$F22</f>
        <v>0.00952011942990949</v>
      </c>
      <c r="X22" s="14" t="n">
        <f aca="false">D$13*$F22</f>
        <v>0.019040238859819</v>
      </c>
      <c r="Y22" s="14" t="n">
        <f aca="false">E$13*$F22</f>
        <v>-0</v>
      </c>
      <c r="Z22" s="14" t="n">
        <f aca="false">F$13*$F22</f>
        <v>-0</v>
      </c>
    </row>
    <row r="23" customFormat="false" ht="15" hidden="false" customHeight="true" outlineLevel="0" collapsed="false">
      <c r="B23" s="13" t="s">
        <v>410</v>
      </c>
      <c r="C23" s="21" t="s">
        <v>411</v>
      </c>
      <c r="D23" s="25" t="n">
        <f aca="false">Oman_Intensity!F13</f>
        <v>1190.44019280374</v>
      </c>
      <c r="E23" s="26" t="n">
        <f aca="false">Oman_Intensity!G13</f>
        <v>0.6</v>
      </c>
      <c r="F23" s="20" t="n">
        <f aca="false">Oman_Intensity!H13</f>
        <v>1</v>
      </c>
      <c r="G23" s="14" t="n">
        <f aca="false">IF($D23&lt;=0,0,C$10*$D23*C$11*(1-$E23)/(1000000*C$12))</f>
        <v>0.269991835727888</v>
      </c>
      <c r="H23" s="14" t="n">
        <f aca="false">IF($D23&lt;=0,0,D$10*$D23*D$11*(1-$E23)/(1000000*D$12))</f>
        <v>0.106068221178813</v>
      </c>
      <c r="I23" s="14" t="n">
        <f aca="false">IF($D23&lt;=0,0,E$10*$D23*E$11*(1-$E23)/(1000000*E$12))</f>
        <v>0.00514270163291216</v>
      </c>
      <c r="J23" s="14" t="n">
        <f aca="false">IF($D23&lt;=0,0,F$10*$D23*F$11*(1-$E23)/(1000000*F$12))</f>
        <v>0.0224993196439907</v>
      </c>
      <c r="K23" s="24" t="n">
        <f aca="false">Physical_Exposure!D32</f>
        <v>0.00670739237761484</v>
      </c>
      <c r="L23" s="24" t="n">
        <f aca="false">Physical_Exposure!E32</f>
        <v>0.00752682815204241</v>
      </c>
      <c r="M23" s="24" t="n">
        <f aca="false">Physical_Exposure!F32</f>
        <v>0.0118333162183205</v>
      </c>
      <c r="N23" s="24" t="n">
        <f aca="false">Physical_Exposure!G32</f>
        <v>0.00968724148107894</v>
      </c>
      <c r="O23" s="14" t="n">
        <f aca="false">MIN(G23+K23,k_MultiAnchor!$C$60)</f>
        <v>0.276699228105503</v>
      </c>
      <c r="P23" s="14" t="n">
        <f aca="false">MIN(H23+L23,k_MultiAnchor!$C$60)</f>
        <v>0.113595049330856</v>
      </c>
      <c r="Q23" s="14" t="n">
        <f aca="false">MIN(I23+M23,k_MultiAnchor!$C$60)</f>
        <v>0.0169760178512326</v>
      </c>
      <c r="R23" s="14" t="n">
        <f aca="false">MIN(J23+N23,k_MultiAnchor!$C$60)</f>
        <v>0.0321865611250696</v>
      </c>
      <c r="S23" s="14" t="n">
        <f aca="false">$C$5*IF(ABS($C$7)&lt;0.000000000001,LN(1+O23),((1+O23)^$C$7-1)/$C$7)</f>
        <v>0.064247503464288</v>
      </c>
      <c r="T23" s="14" t="n">
        <f aca="false">$C$5*IF(ABS($C$7)&lt;0.000000000001,LN(1+P23),((1+P23)^$C$7-1)/$C$7)</f>
        <v>0.0282981578036177</v>
      </c>
      <c r="U23" s="14" t="n">
        <f aca="false">$C$5*IF(ABS($C$7)&lt;0.000000000001,LN(1+Q23),((1+Q23)^$C$7-1)/$C$7)</f>
        <v>0.00442738415459835</v>
      </c>
      <c r="V23" s="14" t="n">
        <f aca="false">$C$5*IF(ABS($C$7)&lt;0.000000000001,LN(1+R23),((1+R23)^$C$7-1)/$C$7)</f>
        <v>0.00833199852601992</v>
      </c>
      <c r="W23" s="14" t="n">
        <f aca="false">C$13*$F23</f>
        <v>0.00952011942990949</v>
      </c>
      <c r="X23" s="14" t="n">
        <f aca="false">D$13*$F23</f>
        <v>0.019040238859819</v>
      </c>
      <c r="Y23" s="14" t="n">
        <f aca="false">E$13*$F23</f>
        <v>-0</v>
      </c>
      <c r="Z23" s="14" t="n">
        <f aca="false">F$13*$F23</f>
        <v>-0</v>
      </c>
    </row>
    <row r="24" customFormat="false" ht="15" hidden="false" customHeight="true" outlineLevel="0" collapsed="false">
      <c r="B24" s="13" t="s">
        <v>412</v>
      </c>
      <c r="C24" s="21" t="s">
        <v>413</v>
      </c>
      <c r="D24" s="25" t="n">
        <f aca="false">Oman_Intensity!F14</f>
        <v>730.030784475165</v>
      </c>
      <c r="E24" s="26" t="n">
        <f aca="false">Oman_Intensity!G14</f>
        <v>0.35</v>
      </c>
      <c r="F24" s="20" t="n">
        <f aca="false">Oman_Intensity!H14</f>
        <v>1</v>
      </c>
      <c r="G24" s="14" t="n">
        <f aca="false">IF($D24&lt;=0,0,C$10*$D24*C$11*(1-$E24)/(1000000*C$12))</f>
        <v>0.269052845618322</v>
      </c>
      <c r="H24" s="14" t="n">
        <f aca="false">IF($D24&lt;=0,0,D$10*$D24*D$11*(1-$E24)/(1000000*D$12))</f>
        <v>0.105699332207198</v>
      </c>
      <c r="I24" s="14" t="n">
        <f aca="false">IF($D24&lt;=0,0,E$10*$D24*E$11*(1-$E24)/(1000000*E$12))</f>
        <v>0.00512481610701566</v>
      </c>
      <c r="J24" s="14" t="n">
        <f aca="false">IF($D24&lt;=0,0,F$10*$D24*F$11*(1-$E24)/(1000000*F$12))</f>
        <v>0.0224210704681935</v>
      </c>
      <c r="K24" s="24" t="n">
        <f aca="false">Physical_Exposure!D33</f>
        <v>0.00567199721146509</v>
      </c>
      <c r="L24" s="24" t="n">
        <f aca="false">Physical_Exposure!E33</f>
        <v>0.00628092937644628</v>
      </c>
      <c r="M24" s="24" t="n">
        <f aca="false">Physical_Exposure!F33</f>
        <v>0.00939350204160269</v>
      </c>
      <c r="N24" s="24" t="n">
        <f aca="false">Physical_Exposure!G33</f>
        <v>0.00785817761935332</v>
      </c>
      <c r="O24" s="14" t="n">
        <f aca="false">MIN(G24+K24,k_MultiAnchor!$C$60)</f>
        <v>0.274724842829787</v>
      </c>
      <c r="P24" s="14" t="n">
        <f aca="false">MIN(H24+L24,k_MultiAnchor!$C$60)</f>
        <v>0.111980261583644</v>
      </c>
      <c r="Q24" s="14" t="n">
        <f aca="false">MIN(I24+M24,k_MultiAnchor!$C$60)</f>
        <v>0.0145183181486183</v>
      </c>
      <c r="R24" s="14" t="n">
        <f aca="false">MIN(J24+N24,k_MultiAnchor!$C$60)</f>
        <v>0.0302792480875468</v>
      </c>
      <c r="S24" s="14" t="n">
        <f aca="false">$C$5*IF(ABS($C$7)&lt;0.000000000001,LN(1+O24),((1+O24)^$C$7-1)/$C$7)</f>
        <v>0.0638404502353853</v>
      </c>
      <c r="T24" s="14" t="n">
        <f aca="false">$C$5*IF(ABS($C$7)&lt;0.000000000001,LN(1+P24),((1+P24)^$C$7-1)/$C$7)</f>
        <v>0.0279164991718549</v>
      </c>
      <c r="U24" s="14" t="n">
        <f aca="false">$C$5*IF(ABS($C$7)&lt;0.000000000001,LN(1+Q24),((1+Q24)^$C$7-1)/$C$7)</f>
        <v>0.00379100598178552</v>
      </c>
      <c r="V24" s="14" t="n">
        <f aca="false">$C$5*IF(ABS($C$7)&lt;0.000000000001,LN(1+R24),((1+R24)^$C$7-1)/$C$7)</f>
        <v>0.00784554964821809</v>
      </c>
      <c r="W24" s="14" t="n">
        <f aca="false">C$13*$F24</f>
        <v>0.00952011942990949</v>
      </c>
      <c r="X24" s="14" t="n">
        <f aca="false">D$13*$F24</f>
        <v>0.019040238859819</v>
      </c>
      <c r="Y24" s="14" t="n">
        <f aca="false">E$13*$F24</f>
        <v>-0</v>
      </c>
      <c r="Z24" s="14" t="n">
        <f aca="false">F$13*$F24</f>
        <v>-0</v>
      </c>
    </row>
    <row r="25" customFormat="false" ht="15" hidden="false" customHeight="true" outlineLevel="0" collapsed="false">
      <c r="B25" s="13" t="s">
        <v>414</v>
      </c>
      <c r="C25" s="21" t="s">
        <v>415</v>
      </c>
      <c r="D25" s="25" t="n">
        <f aca="false">Oman_Intensity!F15</f>
        <v>161.898628866796</v>
      </c>
      <c r="E25" s="26" t="n">
        <f aca="false">Oman_Intensity!G15</f>
        <v>0.6</v>
      </c>
      <c r="F25" s="20" t="n">
        <f aca="false">Oman_Intensity!H15</f>
        <v>1</v>
      </c>
      <c r="G25" s="14" t="n">
        <f aca="false">IF($D25&lt;=0,0,C$10*$D25*C$11*(1-$E25)/(1000000*C$12))</f>
        <v>0.0367186090269893</v>
      </c>
      <c r="H25" s="14" t="n">
        <f aca="false">IF($D25&lt;=0,0,D$10*$D25*D$11*(1-$E25)/(1000000*D$12))</f>
        <v>0.0144251678320315</v>
      </c>
      <c r="I25" s="14" t="n">
        <f aca="false">IF($D25&lt;=0,0,E$10*$D25*E$11*(1-$E25)/(1000000*E$12))</f>
        <v>0.000699402076704558</v>
      </c>
      <c r="J25" s="14" t="n">
        <f aca="false">IF($D25&lt;=0,0,F$10*$D25*F$11*(1-$E25)/(1000000*F$12))</f>
        <v>0.00305988408558244</v>
      </c>
      <c r="K25" s="24" t="n">
        <f aca="false">Physical_Exposure!D34</f>
        <v>0.00163437900768369</v>
      </c>
      <c r="L25" s="24" t="n">
        <f aca="false">Physical_Exposure!E34</f>
        <v>0.00182140478889122</v>
      </c>
      <c r="M25" s="24" t="n">
        <f aca="false">Physical_Exposure!F34</f>
        <v>0.00279173615192966</v>
      </c>
      <c r="N25" s="24" t="n">
        <f aca="false">Physical_Exposure!G34</f>
        <v>0.0023104411460899</v>
      </c>
      <c r="O25" s="14" t="n">
        <f aca="false">MIN(G25+K25,k_MultiAnchor!$C$60)</f>
        <v>0.038352988034673</v>
      </c>
      <c r="P25" s="14" t="n">
        <f aca="false">MIN(H25+L25,k_MultiAnchor!$C$60)</f>
        <v>0.0162465726209227</v>
      </c>
      <c r="Q25" s="14" t="n">
        <f aca="false">MIN(I25+M25,k_MultiAnchor!$C$60)</f>
        <v>0.00349113822863422</v>
      </c>
      <c r="R25" s="14" t="n">
        <f aca="false">MIN(J25+N25,k_MultiAnchor!$C$60)</f>
        <v>0.00537032523167234</v>
      </c>
      <c r="S25" s="14" t="n">
        <f aca="false">$C$5*IF(ABS($C$7)&lt;0.000000000001,LN(1+O25),((1+O25)^$C$7-1)/$C$7)</f>
        <v>0.00989858078570134</v>
      </c>
      <c r="T25" s="14" t="n">
        <f aca="false">$C$5*IF(ABS($C$7)&lt;0.000000000001,LN(1+P25),((1+P25)^$C$7-1)/$C$7)</f>
        <v>0.00423866775450164</v>
      </c>
      <c r="U25" s="14" t="n">
        <f aca="false">$C$5*IF(ABS($C$7)&lt;0.000000000001,LN(1+Q25),((1+Q25)^$C$7-1)/$C$7)</f>
        <v>0.000916604364290975</v>
      </c>
      <c r="V25" s="14" t="n">
        <f aca="false">$C$5*IF(ABS($C$7)&lt;0.000000000001,LN(1+R25),((1+R25)^$C$7-1)/$C$7)</f>
        <v>0.00140866882741364</v>
      </c>
      <c r="W25" s="14" t="n">
        <f aca="false">C$13*$F25</f>
        <v>0.00952011942990949</v>
      </c>
      <c r="X25" s="14" t="n">
        <f aca="false">D$13*$F25</f>
        <v>0.019040238859819</v>
      </c>
      <c r="Y25" s="14" t="n">
        <f aca="false">E$13*$F25</f>
        <v>-0</v>
      </c>
      <c r="Z25" s="14" t="n">
        <f aca="false">F$13*$F25</f>
        <v>-0</v>
      </c>
    </row>
    <row r="28" customFormat="false" ht="31.5" hidden="false" customHeight="true" outlineLevel="0" collapsed="false">
      <c r="B28" s="6" t="s">
        <v>416</v>
      </c>
      <c r="C28" s="6" t="s">
        <v>373</v>
      </c>
      <c r="D28" s="6" t="s">
        <v>417</v>
      </c>
      <c r="E28" s="6" t="s">
        <v>418</v>
      </c>
      <c r="F28" s="6" t="s">
        <v>419</v>
      </c>
      <c r="G28" s="6" t="s">
        <v>420</v>
      </c>
      <c r="H28" s="6" t="s">
        <v>421</v>
      </c>
      <c r="I28" s="6" t="s">
        <v>422</v>
      </c>
      <c r="J28" s="6" t="s">
        <v>423</v>
      </c>
      <c r="K28" s="6" t="s">
        <v>424</v>
      </c>
      <c r="L28" s="6" t="s">
        <v>425</v>
      </c>
      <c r="M28" s="6" t="s">
        <v>426</v>
      </c>
      <c r="N28" s="6" t="s">
        <v>427</v>
      </c>
    </row>
    <row r="29" customFormat="false" ht="15" hidden="false" customHeight="true" outlineLevel="0" collapsed="false">
      <c r="B29" s="27" t="str">
        <f aca="false">$B$16</f>
        <v>S01</v>
      </c>
      <c r="C29" s="27" t="str">
        <f aca="false">$C$16</f>
        <v>Agriculture, Forestry &amp; Fishing</v>
      </c>
      <c r="D29" s="21" t="s">
        <v>428</v>
      </c>
      <c r="E29" s="21" t="str">
        <f aca="false">B29&amp;"|"&amp;D29</f>
        <v>S01|MR1</v>
      </c>
      <c r="F29" s="28" t="n">
        <f aca="false">INDEX(RatingGrades!$C$6:$C$12,MATCH(D29,RatingGrades!$B$6:$B$12,0))</f>
        <v>0.001</v>
      </c>
      <c r="G29" s="29" t="n">
        <f aca="false">NORMSDIST(NORMSINV($F29)+S$16+W$16)</f>
        <v>0.00131755373082972</v>
      </c>
      <c r="H29" s="29" t="n">
        <f aca="false">NORMSDIST(NORMSINV($F29)+T$16+X$16)</f>
        <v>0.00119409510830547</v>
      </c>
      <c r="I29" s="29" t="n">
        <f aca="false">NORMSDIST(NORMSINV($F29)+U$16+Y$16)</f>
        <v>0.00102950974933558</v>
      </c>
      <c r="J29" s="29" t="n">
        <f aca="false">NORMSDIST(NORMSINV($F29)+V$16+Z$16)</f>
        <v>0.00104268466828897</v>
      </c>
      <c r="K29" s="30" t="n">
        <f aca="false">G29/$F29</f>
        <v>1.31755373082972</v>
      </c>
      <c r="L29" s="30" t="n">
        <f aca="false">H29/$F29</f>
        <v>1.19409510830547</v>
      </c>
      <c r="M29" s="30" t="n">
        <f aca="false">I29/$F29</f>
        <v>1.02950974933558</v>
      </c>
      <c r="N29" s="30" t="n">
        <f aca="false">J29/$F29</f>
        <v>1.04268466828897</v>
      </c>
    </row>
    <row r="30" customFormat="false" ht="15" hidden="false" customHeight="true" outlineLevel="0" collapsed="false">
      <c r="B30" s="27" t="str">
        <f aca="false">$B$16</f>
        <v>S01</v>
      </c>
      <c r="C30" s="27" t="str">
        <f aca="false">$C$16</f>
        <v>Agriculture, Forestry &amp; Fishing</v>
      </c>
      <c r="D30" s="21" t="s">
        <v>429</v>
      </c>
      <c r="E30" s="21" t="str">
        <f aca="false">B30&amp;"|"&amp;D30</f>
        <v>S01|MR2</v>
      </c>
      <c r="F30" s="28" t="n">
        <f aca="false">INDEX(RatingGrades!$C$6:$C$12,MATCH(D30,RatingGrades!$B$6:$B$12,0))</f>
        <v>0.0025</v>
      </c>
      <c r="G30" s="29" t="n">
        <f aca="false">NORMSDIST(NORMSINV($F30)+S$16+W$16)</f>
        <v>0.00322306076052558</v>
      </c>
      <c r="H30" s="29" t="n">
        <f aca="false">NORMSDIST(NORMSINV($F30)+T$16+X$16)</f>
        <v>0.00294393921029296</v>
      </c>
      <c r="I30" s="29" t="n">
        <f aca="false">NORMSDIST(NORMSINV($F30)+U$16+Y$16)</f>
        <v>0.00256793419770111</v>
      </c>
      <c r="J30" s="29" t="n">
        <f aca="false">NORMSDIST(NORMSINV($F30)+V$16+Z$16)</f>
        <v>0.00259821085932367</v>
      </c>
      <c r="K30" s="30" t="n">
        <f aca="false">G30/$F30</f>
        <v>1.28922430421023</v>
      </c>
      <c r="L30" s="30" t="n">
        <f aca="false">H30/$F30</f>
        <v>1.17757568411718</v>
      </c>
      <c r="M30" s="30" t="n">
        <f aca="false">I30/$F30</f>
        <v>1.02717367908045</v>
      </c>
      <c r="N30" s="30" t="n">
        <f aca="false">J30/$F30</f>
        <v>1.03928434372947</v>
      </c>
    </row>
    <row r="31" customFormat="false" ht="15" hidden="false" customHeight="true" outlineLevel="0" collapsed="false">
      <c r="B31" s="27" t="str">
        <f aca="false">$B$16</f>
        <v>S01</v>
      </c>
      <c r="C31" s="27" t="str">
        <f aca="false">$C$16</f>
        <v>Agriculture, Forestry &amp; Fishing</v>
      </c>
      <c r="D31" s="21" t="s">
        <v>430</v>
      </c>
      <c r="E31" s="21" t="str">
        <f aca="false">B31&amp;"|"&amp;D31</f>
        <v>S01|MR3</v>
      </c>
      <c r="F31" s="28" t="n">
        <f aca="false">INDEX(RatingGrades!$C$6:$C$12,MATCH(D31,RatingGrades!$B$6:$B$12,0))</f>
        <v>0.005</v>
      </c>
      <c r="G31" s="29" t="n">
        <f aca="false">NORMSDIST(NORMSINV($F31)+S$16+W$16)</f>
        <v>0.00633386513480772</v>
      </c>
      <c r="H31" s="29" t="n">
        <f aca="false">NORMSDIST(NORMSINV($F31)+T$16+X$16)</f>
        <v>0.00582194931684899</v>
      </c>
      <c r="I31" s="29" t="n">
        <f aca="false">NORMSDIST(NORMSINV($F31)+U$16+Y$16)</f>
        <v>0.00512644494284808</v>
      </c>
      <c r="J31" s="29" t="n">
        <f aca="false">NORMSDIST(NORMSINV($F31)+V$16+Z$16)</f>
        <v>0.00518271767994863</v>
      </c>
      <c r="K31" s="30" t="n">
        <f aca="false">G31/$F31</f>
        <v>1.26677302696154</v>
      </c>
      <c r="L31" s="30" t="n">
        <f aca="false">H31/$F31</f>
        <v>1.1643898633698</v>
      </c>
      <c r="M31" s="30" t="n">
        <f aca="false">I31/$F31</f>
        <v>1.02528898856962</v>
      </c>
      <c r="N31" s="30" t="n">
        <f aca="false">J31/$F31</f>
        <v>1.03654353598973</v>
      </c>
    </row>
    <row r="32" customFormat="false" ht="15" hidden="false" customHeight="true" outlineLevel="0" collapsed="false">
      <c r="B32" s="27" t="str">
        <f aca="false">$B$16</f>
        <v>S01</v>
      </c>
      <c r="C32" s="27" t="str">
        <f aca="false">$C$16</f>
        <v>Agriculture, Forestry &amp; Fishing</v>
      </c>
      <c r="D32" s="21" t="s">
        <v>431</v>
      </c>
      <c r="E32" s="21" t="str">
        <f aca="false">B32&amp;"|"&amp;D32</f>
        <v>S01|MR4</v>
      </c>
      <c r="F32" s="28" t="n">
        <f aca="false">INDEX(RatingGrades!$C$6:$C$12,MATCH(D32,RatingGrades!$B$6:$B$12,0))</f>
        <v>0.01</v>
      </c>
      <c r="G32" s="29" t="n">
        <f aca="false">NORMSDIST(NORMSINV($F32)+S$16+W$16)</f>
        <v>0.0124324602532031</v>
      </c>
      <c r="H32" s="29" t="n">
        <f aca="false">NORMSDIST(NORMSINV($F32)+T$16+X$16)</f>
        <v>0.0115048034272246</v>
      </c>
      <c r="I32" s="29" t="n">
        <f aca="false">NORMSDIST(NORMSINV($F32)+U$16+Y$16)</f>
        <v>0.0102328106681541</v>
      </c>
      <c r="J32" s="29" t="n">
        <f aca="false">NORMSDIST(NORMSINV($F32)+V$16+Z$16)</f>
        <v>0.0103362598629112</v>
      </c>
      <c r="K32" s="30" t="n">
        <f aca="false">G32/$F32</f>
        <v>1.24324602532031</v>
      </c>
      <c r="L32" s="30" t="n">
        <f aca="false">H32/$F32</f>
        <v>1.15048034272246</v>
      </c>
      <c r="M32" s="30" t="n">
        <f aca="false">I32/$F32</f>
        <v>1.02328106681541</v>
      </c>
      <c r="N32" s="30" t="n">
        <f aca="false">J32/$F32</f>
        <v>1.03362598629112</v>
      </c>
    </row>
    <row r="33" customFormat="false" ht="15" hidden="false" customHeight="true" outlineLevel="0" collapsed="false">
      <c r="B33" s="27" t="str">
        <f aca="false">$B$16</f>
        <v>S01</v>
      </c>
      <c r="C33" s="27" t="str">
        <f aca="false">$C$16</f>
        <v>Agriculture, Forestry &amp; Fishing</v>
      </c>
      <c r="D33" s="21" t="s">
        <v>432</v>
      </c>
      <c r="E33" s="21" t="str">
        <f aca="false">B33&amp;"|"&amp;D33</f>
        <v>S01|MR5</v>
      </c>
      <c r="F33" s="28" t="n">
        <f aca="false">INDEX(RatingGrades!$C$6:$C$12,MATCH(D33,RatingGrades!$B$6:$B$12,0))</f>
        <v>0.02</v>
      </c>
      <c r="G33" s="29" t="n">
        <f aca="false">NORMSDIST(NORMSINV($F33)+S$16+W$16)</f>
        <v>0.0243678919051448</v>
      </c>
      <c r="H33" s="29" t="n">
        <f aca="false">NORMSDIST(NORMSINV($F33)+T$16+X$16)</f>
        <v>0.0227136511490377</v>
      </c>
      <c r="I33" s="29" t="n">
        <f aca="false">NORMSDIST(NORMSINV($F33)+U$16+Y$16)</f>
        <v>0.0204224402734708</v>
      </c>
      <c r="J33" s="29" t="n">
        <f aca="false">NORMSDIST(NORMSINV($F33)+V$16+Z$16)</f>
        <v>0.0206098338751208</v>
      </c>
      <c r="K33" s="30" t="n">
        <f aca="false">G33/$F33</f>
        <v>1.21839459525724</v>
      </c>
      <c r="L33" s="30" t="n">
        <f aca="false">H33/$F33</f>
        <v>1.13568255745188</v>
      </c>
      <c r="M33" s="30" t="n">
        <f aca="false">I33/$F33</f>
        <v>1.02112201367354</v>
      </c>
      <c r="N33" s="30" t="n">
        <f aca="false">J33/$F33</f>
        <v>1.03049169375604</v>
      </c>
    </row>
    <row r="34" customFormat="false" ht="15" hidden="false" customHeight="true" outlineLevel="0" collapsed="false">
      <c r="B34" s="27" t="str">
        <f aca="false">$B$16</f>
        <v>S01</v>
      </c>
      <c r="C34" s="27" t="str">
        <f aca="false">$C$16</f>
        <v>Agriculture, Forestry &amp; Fishing</v>
      </c>
      <c r="D34" s="21" t="s">
        <v>433</v>
      </c>
      <c r="E34" s="21" t="str">
        <f aca="false">B34&amp;"|"&amp;D34</f>
        <v>S01|MR6</v>
      </c>
      <c r="F34" s="28" t="n">
        <f aca="false">INDEX(RatingGrades!$C$6:$C$12,MATCH(D34,RatingGrades!$B$6:$B$12,0))</f>
        <v>0.045</v>
      </c>
      <c r="G34" s="29" t="n">
        <f aca="false">NORMSDIST(NORMSINV($F34)+S$16+W$16)</f>
        <v>0.0534217302057622</v>
      </c>
      <c r="H34" s="29" t="n">
        <f aca="false">NORMSDIST(NORMSINV($F34)+T$16+X$16)</f>
        <v>0.0502613405885866</v>
      </c>
      <c r="I34" s="29" t="n">
        <f aca="false">NORMSDIST(NORMSINV($F34)+U$16+Y$16)</f>
        <v>0.0458257152954746</v>
      </c>
      <c r="J34" s="29" t="n">
        <f aca="false">NORMSDIST(NORMSINV($F34)+V$16+Z$16)</f>
        <v>0.0461911868538905</v>
      </c>
      <c r="K34" s="30" t="n">
        <f aca="false">G34/$F34</f>
        <v>1.18714956012805</v>
      </c>
      <c r="L34" s="30" t="n">
        <f aca="false">H34/$F34</f>
        <v>1.11691867974637</v>
      </c>
      <c r="M34" s="30" t="n">
        <f aca="false">I34/$F34</f>
        <v>1.01834922878832</v>
      </c>
      <c r="N34" s="30" t="n">
        <f aca="false">J34/$F34</f>
        <v>1.02647081897534</v>
      </c>
    </row>
    <row r="35" customFormat="false" ht="15" hidden="false" customHeight="true" outlineLevel="0" collapsed="false">
      <c r="B35" s="27" t="str">
        <f aca="false">$B$16</f>
        <v>S01</v>
      </c>
      <c r="C35" s="27" t="str">
        <f aca="false">$C$16</f>
        <v>Agriculture, Forestry &amp; Fishing</v>
      </c>
      <c r="D35" s="21" t="s">
        <v>434</v>
      </c>
      <c r="E35" s="21" t="str">
        <f aca="false">B35&amp;"|"&amp;D35</f>
        <v>S01|MR7</v>
      </c>
      <c r="F35" s="28" t="n">
        <f aca="false">INDEX(RatingGrades!$C$6:$C$12,MATCH(D35,RatingGrades!$B$6:$B$12,0))</f>
        <v>0.1</v>
      </c>
      <c r="G35" s="29" t="n">
        <f aca="false">NORMSDIST(NORMSINV($F35)+S$16+W$16)</f>
        <v>0.115322589419912</v>
      </c>
      <c r="H35" s="29" t="n">
        <f aca="false">NORMSDIST(NORMSINV($F35)+T$16+X$16)</f>
        <v>0.109633642341871</v>
      </c>
      <c r="I35" s="29" t="n">
        <f aca="false">NORMSDIST(NORMSINV($F35)+U$16+Y$16)</f>
        <v>0.101526077947995</v>
      </c>
      <c r="J35" s="29" t="n">
        <f aca="false">NORMSDIST(NORMSINV($F35)+V$16+Z$16)</f>
        <v>0.102199804726758</v>
      </c>
      <c r="K35" s="30" t="n">
        <f aca="false">G35/$F35</f>
        <v>1.15322589419912</v>
      </c>
      <c r="L35" s="30" t="n">
        <f aca="false">H35/$F35</f>
        <v>1.09633642341871</v>
      </c>
      <c r="M35" s="30" t="n">
        <f aca="false">I35/$F35</f>
        <v>1.01526077947995</v>
      </c>
      <c r="N35" s="30" t="n">
        <f aca="false">J35/$F35</f>
        <v>1.02199804726758</v>
      </c>
    </row>
    <row r="36" customFormat="false" ht="15" hidden="false" customHeight="true" outlineLevel="0" collapsed="false">
      <c r="B36" s="27" t="str">
        <f aca="false">$B$17</f>
        <v>S02</v>
      </c>
      <c r="C36" s="27" t="str">
        <f aca="false">$C$17</f>
        <v>Oil &amp; Gas Extraction</v>
      </c>
      <c r="D36" s="21" t="s">
        <v>428</v>
      </c>
      <c r="E36" s="21" t="str">
        <f aca="false">B36&amp;"|"&amp;D36</f>
        <v>S02|MR1</v>
      </c>
      <c r="F36" s="28" t="n">
        <f aca="false">INDEX(RatingGrades!$C$6:$C$12,MATCH(D36,RatingGrades!$B$6:$B$12,0))</f>
        <v>0.001</v>
      </c>
      <c r="G36" s="29" t="n">
        <f aca="false">NORMSDIST(NORMSINV($F36)+S$17+W$17)</f>
        <v>0.00158977005860407</v>
      </c>
      <c r="H36" s="29" t="n">
        <f aca="false">NORMSDIST(NORMSINV($F36)+T$17+X$17)</f>
        <v>0.0013027372450668</v>
      </c>
      <c r="I36" s="29" t="n">
        <f aca="false">NORMSDIST(NORMSINV($F36)+U$17+Y$17)</f>
        <v>0.0010207229933967</v>
      </c>
      <c r="J36" s="29" t="n">
        <f aca="false">NORMSDIST(NORMSINV($F36)+V$17+Z$17)</f>
        <v>0.00105501500015607</v>
      </c>
      <c r="K36" s="30" t="n">
        <f aca="false">G36/$F36</f>
        <v>1.58977005860407</v>
      </c>
      <c r="L36" s="30" t="n">
        <f aca="false">H36/$F36</f>
        <v>1.3027372450668</v>
      </c>
      <c r="M36" s="30" t="n">
        <f aca="false">I36/$F36</f>
        <v>1.0207229933967</v>
      </c>
      <c r="N36" s="30" t="n">
        <f aca="false">J36/$F36</f>
        <v>1.05501500015607</v>
      </c>
    </row>
    <row r="37" customFormat="false" ht="15" hidden="false" customHeight="true" outlineLevel="0" collapsed="false">
      <c r="B37" s="27" t="str">
        <f aca="false">$B$17</f>
        <v>S02</v>
      </c>
      <c r="C37" s="27" t="str">
        <f aca="false">$C$17</f>
        <v>Oil &amp; Gas Extraction</v>
      </c>
      <c r="D37" s="21" t="s">
        <v>429</v>
      </c>
      <c r="E37" s="21" t="str">
        <f aca="false">B37&amp;"|"&amp;D37</f>
        <v>S02|MR2</v>
      </c>
      <c r="F37" s="28" t="n">
        <f aca="false">INDEX(RatingGrades!$C$6:$C$12,MATCH(D37,RatingGrades!$B$6:$B$12,0))</f>
        <v>0.0025</v>
      </c>
      <c r="G37" s="29" t="n">
        <f aca="false">NORMSDIST(NORMSINV($F37)+S$17+W$17)</f>
        <v>0.00383083924205892</v>
      </c>
      <c r="H37" s="29" t="n">
        <f aca="false">NORMSDIST(NORMSINV($F37)+T$17+X$17)</f>
        <v>0.00318968563468171</v>
      </c>
      <c r="I37" s="29" t="n">
        <f aca="false">NORMSDIST(NORMSINV($F37)+U$17+Y$17)</f>
        <v>0.00254772362472137</v>
      </c>
      <c r="J37" s="29" t="n">
        <f aca="false">NORMSDIST(NORMSINV($F37)+V$17+Z$17)</f>
        <v>0.00262651737281747</v>
      </c>
      <c r="K37" s="30" t="n">
        <f aca="false">G37/$F37</f>
        <v>1.53233569682357</v>
      </c>
      <c r="L37" s="30" t="n">
        <f aca="false">H37/$F37</f>
        <v>1.27587425387268</v>
      </c>
      <c r="M37" s="30" t="n">
        <f aca="false">I37/$F37</f>
        <v>1.01908944988855</v>
      </c>
      <c r="N37" s="30" t="n">
        <f aca="false">J37/$F37</f>
        <v>1.05060694912699</v>
      </c>
    </row>
    <row r="38" customFormat="false" ht="15" hidden="false" customHeight="true" outlineLevel="0" collapsed="false">
      <c r="B38" s="27" t="str">
        <f aca="false">$B$17</f>
        <v>S02</v>
      </c>
      <c r="C38" s="27" t="str">
        <f aca="false">$C$17</f>
        <v>Oil &amp; Gas Extraction</v>
      </c>
      <c r="D38" s="21" t="s">
        <v>430</v>
      </c>
      <c r="E38" s="21" t="str">
        <f aca="false">B38&amp;"|"&amp;D38</f>
        <v>S02|MR3</v>
      </c>
      <c r="F38" s="28" t="n">
        <f aca="false">INDEX(RatingGrades!$C$6:$C$12,MATCH(D38,RatingGrades!$B$6:$B$12,0))</f>
        <v>0.005</v>
      </c>
      <c r="G38" s="29" t="n">
        <f aca="false">NORMSDIST(NORMSINV($F38)+S$17+W$17)</f>
        <v>0.00743721647355812</v>
      </c>
      <c r="H38" s="29" t="n">
        <f aca="false">NORMSDIST(NORMSINV($F38)+T$17+X$17)</f>
        <v>0.00627283776288615</v>
      </c>
      <c r="I38" s="29" t="n">
        <f aca="false">NORMSDIST(NORMSINV($F38)+U$17+Y$17)</f>
        <v>0.00508885366559574</v>
      </c>
      <c r="J38" s="29" t="n">
        <f aca="false">NORMSDIST(NORMSINV($F38)+V$17+Z$17)</f>
        <v>0.0052352843343312</v>
      </c>
      <c r="K38" s="30" t="n">
        <f aca="false">G38/$F38</f>
        <v>1.48744329471162</v>
      </c>
      <c r="L38" s="30" t="n">
        <f aca="false">H38/$F38</f>
        <v>1.25456755257723</v>
      </c>
      <c r="M38" s="30" t="n">
        <f aca="false">I38/$F38</f>
        <v>1.01777073311915</v>
      </c>
      <c r="N38" s="30" t="n">
        <f aca="false">J38/$F38</f>
        <v>1.04705686686624</v>
      </c>
    </row>
    <row r="39" customFormat="false" ht="15" hidden="false" customHeight="true" outlineLevel="0" collapsed="false">
      <c r="B39" s="27" t="str">
        <f aca="false">$B$17</f>
        <v>S02</v>
      </c>
      <c r="C39" s="27" t="str">
        <f aca="false">$C$17</f>
        <v>Oil &amp; Gas Extraction</v>
      </c>
      <c r="D39" s="21" t="s">
        <v>431</v>
      </c>
      <c r="E39" s="21" t="str">
        <f aca="false">B39&amp;"|"&amp;D39</f>
        <v>S02|MR4</v>
      </c>
      <c r="F39" s="28" t="n">
        <f aca="false">INDEX(RatingGrades!$C$6:$C$12,MATCH(D39,RatingGrades!$B$6:$B$12,0))</f>
        <v>0.01</v>
      </c>
      <c r="G39" s="29" t="n">
        <f aca="false">NORMSDIST(NORMSINV($F39)+S$17+W$17)</f>
        <v>0.0144099784107917</v>
      </c>
      <c r="H39" s="29" t="n">
        <f aca="false">NORMSDIST(NORMSINV($F39)+T$17+X$17)</f>
        <v>0.0123222289090884</v>
      </c>
      <c r="I39" s="29" t="n">
        <f aca="false">NORMSDIST(NORMSINV($F39)+U$17+Y$17)</f>
        <v>0.010163649915097</v>
      </c>
      <c r="J39" s="29" t="n">
        <f aca="false">NORMSDIST(NORMSINV($F39)+V$17+Z$17)</f>
        <v>0.0104328081050467</v>
      </c>
      <c r="K39" s="30" t="n">
        <f aca="false">G39/$F39</f>
        <v>1.44099784107917</v>
      </c>
      <c r="L39" s="30" t="n">
        <f aca="false">H39/$F39</f>
        <v>1.23222289090884</v>
      </c>
      <c r="M39" s="30" t="n">
        <f aca="false">I39/$F39</f>
        <v>1.0163649915097</v>
      </c>
      <c r="N39" s="30" t="n">
        <f aca="false">J39/$F39</f>
        <v>1.04328081050467</v>
      </c>
    </row>
    <row r="40" customFormat="false" ht="15" hidden="false" customHeight="true" outlineLevel="0" collapsed="false">
      <c r="B40" s="27" t="str">
        <f aca="false">$B$17</f>
        <v>S02</v>
      </c>
      <c r="C40" s="27" t="str">
        <f aca="false">$C$17</f>
        <v>Oil &amp; Gas Extraction</v>
      </c>
      <c r="D40" s="21" t="s">
        <v>432</v>
      </c>
      <c r="E40" s="21" t="str">
        <f aca="false">B40&amp;"|"&amp;D40</f>
        <v>S02|MR5</v>
      </c>
      <c r="F40" s="28" t="n">
        <f aca="false">INDEX(RatingGrades!$C$6:$C$12,MATCH(D40,RatingGrades!$B$6:$B$12,0))</f>
        <v>0.02</v>
      </c>
      <c r="G40" s="29" t="n">
        <f aca="false">NORMSDIST(NORMSINV($F40)+S$17+W$17)</f>
        <v>0.0278521701169089</v>
      </c>
      <c r="H40" s="29" t="n">
        <f aca="false">NORMSDIST(NORMSINV($F40)+T$17+X$17)</f>
        <v>0.0241720185512238</v>
      </c>
      <c r="I40" s="29" t="n">
        <f aca="false">NORMSDIST(NORMSINV($F40)+U$17+Y$17)</f>
        <v>0.0202970503237221</v>
      </c>
      <c r="J40" s="29" t="n">
        <f aca="false">NORMSDIST(NORMSINV($F40)+V$17+Z$17)</f>
        <v>0.0207845529667254</v>
      </c>
      <c r="K40" s="30" t="n">
        <f aca="false">G40/$F40</f>
        <v>1.39260850584544</v>
      </c>
      <c r="L40" s="30" t="n">
        <f aca="false">H40/$F40</f>
        <v>1.20860092756119</v>
      </c>
      <c r="M40" s="30" t="n">
        <f aca="false">I40/$F40</f>
        <v>1.01485251618611</v>
      </c>
      <c r="N40" s="30" t="n">
        <f aca="false">J40/$F40</f>
        <v>1.03922764833627</v>
      </c>
    </row>
    <row r="41" customFormat="false" ht="15" hidden="false" customHeight="true" outlineLevel="0" collapsed="false">
      <c r="B41" s="27" t="str">
        <f aca="false">$B$17</f>
        <v>S02</v>
      </c>
      <c r="C41" s="27" t="str">
        <f aca="false">$C$17</f>
        <v>Oil &amp; Gas Extraction</v>
      </c>
      <c r="D41" s="21" t="s">
        <v>433</v>
      </c>
      <c r="E41" s="21" t="str">
        <f aca="false">B41&amp;"|"&amp;D41</f>
        <v>S02|MR6</v>
      </c>
      <c r="F41" s="28" t="n">
        <f aca="false">INDEX(RatingGrades!$C$6:$C$12,MATCH(D41,RatingGrades!$B$6:$B$12,0))</f>
        <v>0.045</v>
      </c>
      <c r="G41" s="29" t="n">
        <f aca="false">NORMSDIST(NORMSINV($F41)+S$17+W$17)</f>
        <v>0.0599741823775311</v>
      </c>
      <c r="H41" s="29" t="n">
        <f aca="false">NORMSDIST(NORMSINV($F41)+T$17+X$17)</f>
        <v>0.0530492632221066</v>
      </c>
      <c r="I41" s="29" t="n">
        <f aca="false">NORMSDIST(NORMSINV($F41)+U$17+Y$17)</f>
        <v>0.0455808907393881</v>
      </c>
      <c r="J41" s="29" t="n">
        <f aca="false">NORMSDIST(NORMSINV($F41)+V$17+Z$17)</f>
        <v>0.0465314945288561</v>
      </c>
      <c r="K41" s="30" t="n">
        <f aca="false">G41/$F41</f>
        <v>1.33275960838958</v>
      </c>
      <c r="L41" s="30" t="n">
        <f aca="false">H41/$F41</f>
        <v>1.17887251604681</v>
      </c>
      <c r="M41" s="30" t="n">
        <f aca="false">I41/$F41</f>
        <v>1.01290868309751</v>
      </c>
      <c r="N41" s="30" t="n">
        <f aca="false">J41/$F41</f>
        <v>1.03403321175236</v>
      </c>
    </row>
    <row r="42" customFormat="false" ht="15" hidden="false" customHeight="true" outlineLevel="0" collapsed="false">
      <c r="B42" s="27" t="str">
        <f aca="false">$B$17</f>
        <v>S02</v>
      </c>
      <c r="C42" s="27" t="str">
        <f aca="false">$C$17</f>
        <v>Oil &amp; Gas Extraction</v>
      </c>
      <c r="D42" s="21" t="s">
        <v>434</v>
      </c>
      <c r="E42" s="21" t="str">
        <f aca="false">B42&amp;"|"&amp;D42</f>
        <v>S02|MR7</v>
      </c>
      <c r="F42" s="28" t="n">
        <f aca="false">INDEX(RatingGrades!$C$6:$C$12,MATCH(D42,RatingGrades!$B$6:$B$12,0))</f>
        <v>0.1</v>
      </c>
      <c r="G42" s="29" t="n">
        <f aca="false">NORMSDIST(NORMSINV($F42)+S$17+W$17)</f>
        <v>0.126904956632259</v>
      </c>
      <c r="H42" s="29" t="n">
        <f aca="false">NORMSDIST(NORMSINV($F42)+T$17+X$17)</f>
        <v>0.114655736262643</v>
      </c>
      <c r="I42" s="29" t="n">
        <f aca="false">NORMSDIST(NORMSINV($F42)+U$17+Y$17)</f>
        <v>0.101074164788903</v>
      </c>
      <c r="J42" s="29" t="n">
        <f aca="false">NORMSDIST(NORMSINV($F42)+V$17+Z$17)</f>
        <v>0.102826197350238</v>
      </c>
      <c r="K42" s="30" t="n">
        <f aca="false">G42/$F42</f>
        <v>1.26904956632259</v>
      </c>
      <c r="L42" s="30" t="n">
        <f aca="false">H42/$F42</f>
        <v>1.14655736262643</v>
      </c>
      <c r="M42" s="30" t="n">
        <f aca="false">I42/$F42</f>
        <v>1.01074164788903</v>
      </c>
      <c r="N42" s="30" t="n">
        <f aca="false">J42/$F42</f>
        <v>1.02826197350238</v>
      </c>
    </row>
    <row r="43" customFormat="false" ht="15" hidden="false" customHeight="true" outlineLevel="0" collapsed="false">
      <c r="B43" s="27" t="str">
        <f aca="false">$B$18</f>
        <v>S03</v>
      </c>
      <c r="C43" s="27" t="str">
        <f aca="false">$C$18</f>
        <v>Mining &amp; Quarrying (non-oil)</v>
      </c>
      <c r="D43" s="21" t="s">
        <v>428</v>
      </c>
      <c r="E43" s="21" t="str">
        <f aca="false">B43&amp;"|"&amp;D43</f>
        <v>S03|MR1</v>
      </c>
      <c r="F43" s="28" t="n">
        <f aca="false">INDEX(RatingGrades!$C$6:$C$12,MATCH(D43,RatingGrades!$B$6:$B$12,0))</f>
        <v>0.001</v>
      </c>
      <c r="G43" s="29" t="n">
        <f aca="false">NORMSDIST(NORMSINV($F43)+S$18+W$18)</f>
        <v>0.00150348863213627</v>
      </c>
      <c r="H43" s="29" t="n">
        <f aca="false">NORMSDIST(NORMSINV($F43)+T$18+X$18)</f>
        <v>0.001268895257692</v>
      </c>
      <c r="I43" s="29" t="n">
        <f aca="false">NORMSDIST(NORMSINV($F43)+U$18+Y$18)</f>
        <v>0.0010262364135854</v>
      </c>
      <c r="J43" s="29" t="n">
        <f aca="false">NORMSDIST(NORMSINV($F43)+V$18+Z$18)</f>
        <v>0.00105292960212596</v>
      </c>
      <c r="K43" s="30" t="n">
        <f aca="false">G43/$F43</f>
        <v>1.50348863213627</v>
      </c>
      <c r="L43" s="30" t="n">
        <f aca="false">H43/$F43</f>
        <v>1.268895257692</v>
      </c>
      <c r="M43" s="30" t="n">
        <f aca="false">I43/$F43</f>
        <v>1.0262364135854</v>
      </c>
      <c r="N43" s="30" t="n">
        <f aca="false">J43/$F43</f>
        <v>1.05292960212596</v>
      </c>
    </row>
    <row r="44" customFormat="false" ht="15" hidden="false" customHeight="true" outlineLevel="0" collapsed="false">
      <c r="B44" s="27" t="str">
        <f aca="false">$B$18</f>
        <v>S03</v>
      </c>
      <c r="C44" s="27" t="str">
        <f aca="false">$C$18</f>
        <v>Mining &amp; Quarrying (non-oil)</v>
      </c>
      <c r="D44" s="21" t="s">
        <v>429</v>
      </c>
      <c r="E44" s="21" t="str">
        <f aca="false">B44&amp;"|"&amp;D44</f>
        <v>S03|MR2</v>
      </c>
      <c r="F44" s="28" t="n">
        <f aca="false">INDEX(RatingGrades!$C$6:$C$12,MATCH(D44,RatingGrades!$B$6:$B$12,0))</f>
        <v>0.0025</v>
      </c>
      <c r="G44" s="29" t="n">
        <f aca="false">NORMSDIST(NORMSINV($F44)+S$18+W$18)</f>
        <v>0.00363925733359467</v>
      </c>
      <c r="H44" s="29" t="n">
        <f aca="false">NORMSDIST(NORMSINV($F44)+T$18+X$18)</f>
        <v>0.00311333119737722</v>
      </c>
      <c r="I44" s="29" t="n">
        <f aca="false">NORMSDIST(NORMSINV($F44)+U$18+Y$18)</f>
        <v>0.00256040684594818</v>
      </c>
      <c r="J44" s="29" t="n">
        <f aca="false">NORMSDIST(NORMSINV($F44)+V$18+Z$18)</f>
        <v>0.00262173193510013</v>
      </c>
      <c r="K44" s="30" t="n">
        <f aca="false">G44/$F44</f>
        <v>1.45570293343787</v>
      </c>
      <c r="L44" s="30" t="n">
        <f aca="false">H44/$F44</f>
        <v>1.24533247895089</v>
      </c>
      <c r="M44" s="30" t="n">
        <f aca="false">I44/$F44</f>
        <v>1.02416273837927</v>
      </c>
      <c r="N44" s="30" t="n">
        <f aca="false">J44/$F44</f>
        <v>1.04869277404005</v>
      </c>
    </row>
    <row r="45" customFormat="false" ht="15" hidden="false" customHeight="true" outlineLevel="0" collapsed="false">
      <c r="B45" s="27" t="str">
        <f aca="false">$B$18</f>
        <v>S03</v>
      </c>
      <c r="C45" s="27" t="str">
        <f aca="false">$C$18</f>
        <v>Mining &amp; Quarrying (non-oil)</v>
      </c>
      <c r="D45" s="21" t="s">
        <v>430</v>
      </c>
      <c r="E45" s="21" t="str">
        <f aca="false">B45&amp;"|"&amp;D45</f>
        <v>S03|MR3</v>
      </c>
      <c r="F45" s="28" t="n">
        <f aca="false">INDEX(RatingGrades!$C$6:$C$12,MATCH(D45,RatingGrades!$B$6:$B$12,0))</f>
        <v>0.005</v>
      </c>
      <c r="G45" s="29" t="n">
        <f aca="false">NORMSDIST(NORMSINV($F45)+S$18+W$18)</f>
        <v>0.00709098856559316</v>
      </c>
      <c r="H45" s="29" t="n">
        <f aca="false">NORMSDIST(NORMSINV($F45)+T$18+X$18)</f>
        <v>0.00613303742605051</v>
      </c>
      <c r="I45" s="29" t="n">
        <f aca="false">NORMSDIST(NORMSINV($F45)+U$18+Y$18)</f>
        <v>0.0051124468033684</v>
      </c>
      <c r="J45" s="29" t="n">
        <f aca="false">NORMSDIST(NORMSINV($F45)+V$18+Z$18)</f>
        <v>0.00522640051864649</v>
      </c>
      <c r="K45" s="30" t="n">
        <f aca="false">G45/$F45</f>
        <v>1.41819771311863</v>
      </c>
      <c r="L45" s="30" t="n">
        <f aca="false">H45/$F45</f>
        <v>1.2266074852101</v>
      </c>
      <c r="M45" s="30" t="n">
        <f aca="false">I45/$F45</f>
        <v>1.02248936067368</v>
      </c>
      <c r="N45" s="30" t="n">
        <f aca="false">J45/$F45</f>
        <v>1.0452801037293</v>
      </c>
    </row>
    <row r="46" customFormat="false" ht="15" hidden="false" customHeight="true" outlineLevel="0" collapsed="false">
      <c r="B46" s="27" t="str">
        <f aca="false">$B$18</f>
        <v>S03</v>
      </c>
      <c r="C46" s="27" t="str">
        <f aca="false">$C$18</f>
        <v>Mining &amp; Quarrying (non-oil)</v>
      </c>
      <c r="D46" s="21" t="s">
        <v>431</v>
      </c>
      <c r="E46" s="21" t="str">
        <f aca="false">B46&amp;"|"&amp;D46</f>
        <v>S03|MR4</v>
      </c>
      <c r="F46" s="28" t="n">
        <f aca="false">INDEX(RatingGrades!$C$6:$C$12,MATCH(D46,RatingGrades!$B$6:$B$12,0))</f>
        <v>0.01</v>
      </c>
      <c r="G46" s="29" t="n">
        <f aca="false">NORMSDIST(NORMSINV($F46)+S$18+W$18)</f>
        <v>0.0137924652146226</v>
      </c>
      <c r="H46" s="29" t="n">
        <f aca="false">NORMSDIST(NORMSINV($F46)+T$18+X$18)</f>
        <v>0.0120693537447792</v>
      </c>
      <c r="I46" s="29" t="n">
        <f aca="false">NORMSDIST(NORMSINV($F46)+U$18+Y$18)</f>
        <v>0.0102070619132441</v>
      </c>
      <c r="J46" s="29" t="n">
        <f aca="false">NORMSDIST(NORMSINV($F46)+V$18+Z$18)</f>
        <v>0.010416497280574</v>
      </c>
      <c r="K46" s="30" t="n">
        <f aca="false">G46/$F46</f>
        <v>1.37924652146226</v>
      </c>
      <c r="L46" s="30" t="n">
        <f aca="false">H46/$F46</f>
        <v>1.20693537447792</v>
      </c>
      <c r="M46" s="30" t="n">
        <f aca="false">I46/$F46</f>
        <v>1.02070619132441</v>
      </c>
      <c r="N46" s="30" t="n">
        <f aca="false">J46/$F46</f>
        <v>1.0416497280574</v>
      </c>
    </row>
    <row r="47" customFormat="false" ht="15" hidden="false" customHeight="true" outlineLevel="0" collapsed="false">
      <c r="B47" s="27" t="str">
        <f aca="false">$B$18</f>
        <v>S03</v>
      </c>
      <c r="C47" s="27" t="str">
        <f aca="false">$C$18</f>
        <v>Mining &amp; Quarrying (non-oil)</v>
      </c>
      <c r="D47" s="21" t="s">
        <v>432</v>
      </c>
      <c r="E47" s="21" t="str">
        <f aca="false">B47&amp;"|"&amp;D47</f>
        <v>S03|MR5</v>
      </c>
      <c r="F47" s="28" t="n">
        <f aca="false">INDEX(RatingGrades!$C$6:$C$12,MATCH(D47,RatingGrades!$B$6:$B$12,0))</f>
        <v>0.02</v>
      </c>
      <c r="G47" s="29" t="n">
        <f aca="false">NORMSDIST(NORMSINV($F47)+S$18+W$18)</f>
        <v>0.0267699597987473</v>
      </c>
      <c r="H47" s="29" t="n">
        <f aca="false">NORMSDIST(NORMSINV($F47)+T$18+X$18)</f>
        <v>0.0237219783452322</v>
      </c>
      <c r="I47" s="29" t="n">
        <f aca="false">NORMSDIST(NORMSINV($F47)+U$18+Y$18)</f>
        <v>0.0203757674059445</v>
      </c>
      <c r="J47" s="29" t="n">
        <f aca="false">NORMSDIST(NORMSINV($F47)+V$18+Z$18)</f>
        <v>0.020755047695772</v>
      </c>
      <c r="K47" s="30" t="n">
        <f aca="false">G47/$F47</f>
        <v>1.33849798993737</v>
      </c>
      <c r="L47" s="30" t="n">
        <f aca="false">H47/$F47</f>
        <v>1.18609891726161</v>
      </c>
      <c r="M47" s="30" t="n">
        <f aca="false">I47/$F47</f>
        <v>1.01878837029723</v>
      </c>
      <c r="N47" s="30" t="n">
        <f aca="false">J47/$F47</f>
        <v>1.0377523847886</v>
      </c>
    </row>
    <row r="48" customFormat="false" ht="15" hidden="false" customHeight="true" outlineLevel="0" collapsed="false">
      <c r="B48" s="27" t="str">
        <f aca="false">$B$18</f>
        <v>S03</v>
      </c>
      <c r="C48" s="27" t="str">
        <f aca="false">$C$18</f>
        <v>Mining &amp; Quarrying (non-oil)</v>
      </c>
      <c r="D48" s="21" t="s">
        <v>433</v>
      </c>
      <c r="E48" s="21" t="str">
        <f aca="false">B48&amp;"|"&amp;D48</f>
        <v>S03|MR6</v>
      </c>
      <c r="F48" s="28" t="n">
        <f aca="false">INDEX(RatingGrades!$C$6:$C$12,MATCH(D48,RatingGrades!$B$6:$B$12,0))</f>
        <v>0.045</v>
      </c>
      <c r="G48" s="29" t="n">
        <f aca="false">NORMSDIST(NORMSINV($F48)+S$18+W$18)</f>
        <v>0.0579533445219221</v>
      </c>
      <c r="H48" s="29" t="n">
        <f aca="false">NORMSDIST(NORMSINV($F48)+T$18+X$18)</f>
        <v>0.0521917296559422</v>
      </c>
      <c r="I48" s="29" t="n">
        <f aca="false">NORMSDIST(NORMSINV($F48)+U$18+Y$18)</f>
        <v>0.0457346124095899</v>
      </c>
      <c r="J48" s="29" t="n">
        <f aca="false">NORMSDIST(NORMSINV($F48)+V$18+Z$18)</f>
        <v>0.0464740558503477</v>
      </c>
      <c r="K48" s="30" t="n">
        <f aca="false">G48/$F48</f>
        <v>1.28785210048716</v>
      </c>
      <c r="L48" s="30" t="n">
        <f aca="false">H48/$F48</f>
        <v>1.15981621457649</v>
      </c>
      <c r="M48" s="30" t="n">
        <f aca="false">I48/$F48</f>
        <v>1.01632472021311</v>
      </c>
      <c r="N48" s="30" t="n">
        <f aca="false">J48/$F48</f>
        <v>1.03275679667439</v>
      </c>
    </row>
    <row r="49" customFormat="false" ht="15" hidden="false" customHeight="true" outlineLevel="0" collapsed="false">
      <c r="B49" s="27" t="str">
        <f aca="false">$B$18</f>
        <v>S03</v>
      </c>
      <c r="C49" s="27" t="str">
        <f aca="false">$C$18</f>
        <v>Mining &amp; Quarrying (non-oil)</v>
      </c>
      <c r="D49" s="21" t="s">
        <v>434</v>
      </c>
      <c r="E49" s="21" t="str">
        <f aca="false">B49&amp;"|"&amp;D49</f>
        <v>S03|MR7</v>
      </c>
      <c r="F49" s="28" t="n">
        <f aca="false">INDEX(RatingGrades!$C$6:$C$12,MATCH(D49,RatingGrades!$B$6:$B$12,0))</f>
        <v>0.1</v>
      </c>
      <c r="G49" s="29" t="n">
        <f aca="false">NORMSDIST(NORMSINV($F49)+S$18+W$18)</f>
        <v>0.123362042306231</v>
      </c>
      <c r="H49" s="29" t="n">
        <f aca="false">NORMSDIST(NORMSINV($F49)+T$18+X$18)</f>
        <v>0.113116806945058</v>
      </c>
      <c r="I49" s="29" t="n">
        <f aca="false">NORMSDIST(NORMSINV($F49)+U$18+Y$18)</f>
        <v>0.10135797000995</v>
      </c>
      <c r="J49" s="29" t="n">
        <f aca="false">NORMSDIST(NORMSINV($F49)+V$18+Z$18)</f>
        <v>0.102720535641633</v>
      </c>
      <c r="K49" s="30" t="n">
        <f aca="false">G49/$F49</f>
        <v>1.23362042306231</v>
      </c>
      <c r="L49" s="30" t="n">
        <f aca="false">H49/$F49</f>
        <v>1.13116806945058</v>
      </c>
      <c r="M49" s="30" t="n">
        <f aca="false">I49/$F49</f>
        <v>1.0135797000995</v>
      </c>
      <c r="N49" s="30" t="n">
        <f aca="false">J49/$F49</f>
        <v>1.02720535641632</v>
      </c>
    </row>
    <row r="50" customFormat="false" ht="15" hidden="false" customHeight="true" outlineLevel="0" collapsed="false">
      <c r="B50" s="27" t="str">
        <f aca="false">$B$19</f>
        <v>S04</v>
      </c>
      <c r="C50" s="27" t="str">
        <f aca="false">$C$19</f>
        <v>Manufacturing</v>
      </c>
      <c r="D50" s="21" t="s">
        <v>428</v>
      </c>
      <c r="E50" s="21" t="str">
        <f aca="false">B50&amp;"|"&amp;D50</f>
        <v>S04|MR1</v>
      </c>
      <c r="F50" s="28" t="n">
        <f aca="false">INDEX(RatingGrades!$C$6:$C$12,MATCH(D50,RatingGrades!$B$6:$B$12,0))</f>
        <v>0.001</v>
      </c>
      <c r="G50" s="29" t="n">
        <f aca="false">NORMSDIST(NORMSINV($F50)+S$19+W$19)</f>
        <v>0.0017443531929538</v>
      </c>
      <c r="H50" s="29" t="n">
        <f aca="false">NORMSDIST(NORMSINV($F50)+T$19+X$19)</f>
        <v>0.00136927465720056</v>
      </c>
      <c r="I50" s="29" t="n">
        <f aca="false">NORMSDIST(NORMSINV($F50)+U$19+Y$19)</f>
        <v>0.00102341666161433</v>
      </c>
      <c r="J50" s="29" t="n">
        <f aca="false">NORMSDIST(NORMSINV($F50)+V$19+Z$19)</f>
        <v>0.00106858415369653</v>
      </c>
      <c r="K50" s="30" t="n">
        <f aca="false">G50/$F50</f>
        <v>1.7443531929538</v>
      </c>
      <c r="L50" s="30" t="n">
        <f aca="false">H50/$F50</f>
        <v>1.36927465720056</v>
      </c>
      <c r="M50" s="30" t="n">
        <f aca="false">I50/$F50</f>
        <v>1.02341666161433</v>
      </c>
      <c r="N50" s="30" t="n">
        <f aca="false">J50/$F50</f>
        <v>1.06858415369653</v>
      </c>
    </row>
    <row r="51" customFormat="false" ht="15" hidden="false" customHeight="true" outlineLevel="0" collapsed="false">
      <c r="B51" s="27" t="str">
        <f aca="false">$B$19</f>
        <v>S04</v>
      </c>
      <c r="C51" s="27" t="str">
        <f aca="false">$C$19</f>
        <v>Manufacturing</v>
      </c>
      <c r="D51" s="21" t="s">
        <v>429</v>
      </c>
      <c r="E51" s="21" t="str">
        <f aca="false">B51&amp;"|"&amp;D51</f>
        <v>S04|MR2</v>
      </c>
      <c r="F51" s="28" t="n">
        <f aca="false">INDEX(RatingGrades!$C$6:$C$12,MATCH(D51,RatingGrades!$B$6:$B$12,0))</f>
        <v>0.0025</v>
      </c>
      <c r="G51" s="29" t="n">
        <f aca="false">NORMSDIST(NORMSINV($F51)+S$19+W$19)</f>
        <v>0.00417184050005232</v>
      </c>
      <c r="H51" s="29" t="n">
        <f aca="false">NORMSDIST(NORMSINV($F51)+T$19+X$19)</f>
        <v>0.00333931481637399</v>
      </c>
      <c r="I51" s="29" t="n">
        <f aca="false">NORMSDIST(NORMSINV($F51)+U$19+Y$19)</f>
        <v>0.00255392093142636</v>
      </c>
      <c r="J51" s="29" t="n">
        <f aca="false">NORMSDIST(NORMSINV($F51)+V$19+Z$19)</f>
        <v>0.00265763555245542</v>
      </c>
      <c r="K51" s="30" t="n">
        <f aca="false">G51/$F51</f>
        <v>1.66873620002093</v>
      </c>
      <c r="L51" s="30" t="n">
        <f aca="false">H51/$F51</f>
        <v>1.3357259265496</v>
      </c>
      <c r="M51" s="30" t="n">
        <f aca="false">I51/$F51</f>
        <v>1.02156837257055</v>
      </c>
      <c r="N51" s="30" t="n">
        <f aca="false">J51/$F51</f>
        <v>1.06305422098217</v>
      </c>
    </row>
    <row r="52" customFormat="false" ht="15" hidden="false" customHeight="true" outlineLevel="0" collapsed="false">
      <c r="B52" s="27" t="str">
        <f aca="false">$B$19</f>
        <v>S04</v>
      </c>
      <c r="C52" s="27" t="str">
        <f aca="false">$C$19</f>
        <v>Manufacturing</v>
      </c>
      <c r="D52" s="21" t="s">
        <v>430</v>
      </c>
      <c r="E52" s="21" t="str">
        <f aca="false">B52&amp;"|"&amp;D52</f>
        <v>S04|MR3</v>
      </c>
      <c r="F52" s="28" t="n">
        <f aca="false">INDEX(RatingGrades!$C$6:$C$12,MATCH(D52,RatingGrades!$B$6:$B$12,0))</f>
        <v>0.005</v>
      </c>
      <c r="G52" s="29" t="n">
        <f aca="false">NORMSDIST(NORMSINV($F52)+S$19+W$19)</f>
        <v>0.00805019239776764</v>
      </c>
      <c r="H52" s="29" t="n">
        <f aca="false">NORMSDIST(NORMSINV($F52)+T$19+X$19)</f>
        <v>0.00654606547658175</v>
      </c>
      <c r="I52" s="29" t="n">
        <f aca="false">NORMSDIST(NORMSINV($F52)+U$19+Y$19)</f>
        <v>0.00510038289494568</v>
      </c>
      <c r="J52" s="29" t="n">
        <f aca="false">NORMSDIST(NORMSINV($F52)+V$19+Z$19)</f>
        <v>0.00529302351399355</v>
      </c>
      <c r="K52" s="30" t="n">
        <f aca="false">G52/$F52</f>
        <v>1.61003847955353</v>
      </c>
      <c r="L52" s="30" t="n">
        <f aca="false">H52/$F52</f>
        <v>1.30921309531635</v>
      </c>
      <c r="M52" s="30" t="n">
        <f aca="false">I52/$F52</f>
        <v>1.02007657898914</v>
      </c>
      <c r="N52" s="30" t="n">
        <f aca="false">J52/$F52</f>
        <v>1.05860470279871</v>
      </c>
    </row>
    <row r="53" customFormat="false" ht="15" hidden="false" customHeight="true" outlineLevel="0" collapsed="false">
      <c r="B53" s="27" t="str">
        <f aca="false">$B$19</f>
        <v>S04</v>
      </c>
      <c r="C53" s="27" t="str">
        <f aca="false">$C$19</f>
        <v>Manufacturing</v>
      </c>
      <c r="D53" s="21" t="s">
        <v>431</v>
      </c>
      <c r="E53" s="21" t="str">
        <f aca="false">B53&amp;"|"&amp;D53</f>
        <v>S04|MR4</v>
      </c>
      <c r="F53" s="28" t="n">
        <f aca="false">INDEX(RatingGrades!$C$6:$C$12,MATCH(D53,RatingGrades!$B$6:$B$12,0))</f>
        <v>0.01</v>
      </c>
      <c r="G53" s="29" t="n">
        <f aca="false">NORMSDIST(NORMSINV($F53)+S$19+W$19)</f>
        <v>0.0154969675246903</v>
      </c>
      <c r="H53" s="29" t="n">
        <f aca="false">NORMSDIST(NORMSINV($F53)+T$19+X$19)</f>
        <v>0.0128150229479619</v>
      </c>
      <c r="I53" s="29" t="n">
        <f aca="false">NORMSDIST(NORMSINV($F53)+U$19+Y$19)</f>
        <v>0.0101848661713494</v>
      </c>
      <c r="J53" s="29" t="n">
        <f aca="false">NORMSDIST(NORMSINV($F53)+V$19+Z$19)</f>
        <v>0.0105387598378033</v>
      </c>
      <c r="K53" s="30" t="n">
        <f aca="false">G53/$F53</f>
        <v>1.54969675246903</v>
      </c>
      <c r="L53" s="30" t="n">
        <f aca="false">H53/$F53</f>
        <v>1.28150229479619</v>
      </c>
      <c r="M53" s="30" t="n">
        <f aca="false">I53/$F53</f>
        <v>1.01848661713494</v>
      </c>
      <c r="N53" s="30" t="n">
        <f aca="false">J53/$F53</f>
        <v>1.05387598378033</v>
      </c>
    </row>
    <row r="54" customFormat="false" ht="15" hidden="false" customHeight="true" outlineLevel="0" collapsed="false">
      <c r="B54" s="27" t="str">
        <f aca="false">$B$19</f>
        <v>S04</v>
      </c>
      <c r="C54" s="27" t="str">
        <f aca="false">$C$19</f>
        <v>Manufacturing</v>
      </c>
      <c r="D54" s="21" t="s">
        <v>432</v>
      </c>
      <c r="E54" s="21" t="str">
        <f aca="false">B54&amp;"|"&amp;D54</f>
        <v>S04|MR5</v>
      </c>
      <c r="F54" s="28" t="n">
        <f aca="false">INDEX(RatingGrades!$C$6:$C$12,MATCH(D54,RatingGrades!$B$6:$B$12,0))</f>
        <v>0.02</v>
      </c>
      <c r="G54" s="29" t="n">
        <f aca="false">NORMSDIST(NORMSINV($F54)+S$19+W$19)</f>
        <v>0.0297452011050079</v>
      </c>
      <c r="H54" s="29" t="n">
        <f aca="false">NORMSDIST(NORMSINV($F54)+T$19+X$19)</f>
        <v>0.02504627178365</v>
      </c>
      <c r="I54" s="29" t="n">
        <f aca="false">NORMSDIST(NORMSINV($F54)+U$19+Y$19)</f>
        <v>0.0203355251329536</v>
      </c>
      <c r="J54" s="29" t="n">
        <f aca="false">NORMSDIST(NORMSINV($F54)+V$19+Z$19)</f>
        <v>0.0209760979289265</v>
      </c>
      <c r="K54" s="30" t="n">
        <f aca="false">G54/$F54</f>
        <v>1.4872600552504</v>
      </c>
      <c r="L54" s="30" t="n">
        <f aca="false">H54/$F54</f>
        <v>1.2523135891825</v>
      </c>
      <c r="M54" s="30" t="n">
        <f aca="false">I54/$F54</f>
        <v>1.01677625664768</v>
      </c>
      <c r="N54" s="30" t="n">
        <f aca="false">J54/$F54</f>
        <v>1.04880489644632</v>
      </c>
    </row>
    <row r="55" customFormat="false" ht="15" hidden="false" customHeight="true" outlineLevel="0" collapsed="false">
      <c r="B55" s="27" t="str">
        <f aca="false">$B$19</f>
        <v>S04</v>
      </c>
      <c r="C55" s="27" t="str">
        <f aca="false">$C$19</f>
        <v>Manufacturing</v>
      </c>
      <c r="D55" s="21" t="s">
        <v>433</v>
      </c>
      <c r="E55" s="21" t="str">
        <f aca="false">B55&amp;"|"&amp;D55</f>
        <v>S04|MR6</v>
      </c>
      <c r="F55" s="28" t="n">
        <f aca="false">INDEX(RatingGrades!$C$6:$C$12,MATCH(D55,RatingGrades!$B$6:$B$12,0))</f>
        <v>0.045</v>
      </c>
      <c r="G55" s="29" t="n">
        <f aca="false">NORMSDIST(NORMSINV($F55)+S$19+W$19)</f>
        <v>0.0634799821408683</v>
      </c>
      <c r="H55" s="29" t="n">
        <f aca="false">NORMSDIST(NORMSINV($F55)+T$19+X$19)</f>
        <v>0.0547082097574789</v>
      </c>
      <c r="I55" s="29" t="n">
        <f aca="false">NORMSDIST(NORMSINV($F55)+U$19+Y$19)</f>
        <v>0.0456560368218618</v>
      </c>
      <c r="J55" s="29" t="n">
        <f aca="false">NORMSDIST(NORMSINV($F55)+V$19+Z$19)</f>
        <v>0.0469040856413593</v>
      </c>
      <c r="K55" s="30" t="n">
        <f aca="false">G55/$F55</f>
        <v>1.41066626979707</v>
      </c>
      <c r="L55" s="30" t="n">
        <f aca="false">H55/$F55</f>
        <v>1.21573799461064</v>
      </c>
      <c r="M55" s="30" t="n">
        <f aca="false">I55/$F55</f>
        <v>1.01457859604137</v>
      </c>
      <c r="N55" s="30" t="n">
        <f aca="false">J55/$F55</f>
        <v>1.04231301425243</v>
      </c>
    </row>
    <row r="56" customFormat="false" ht="15" hidden="false" customHeight="true" outlineLevel="0" collapsed="false">
      <c r="B56" s="27" t="str">
        <f aca="false">$B$19</f>
        <v>S04</v>
      </c>
      <c r="C56" s="27" t="str">
        <f aca="false">$C$19</f>
        <v>Manufacturing</v>
      </c>
      <c r="D56" s="21" t="s">
        <v>434</v>
      </c>
      <c r="E56" s="21" t="str">
        <f aca="false">B56&amp;"|"&amp;D56</f>
        <v>S04|MR7</v>
      </c>
      <c r="F56" s="28" t="n">
        <f aca="false">INDEX(RatingGrades!$C$6:$C$12,MATCH(D56,RatingGrades!$B$6:$B$12,0))</f>
        <v>0.1</v>
      </c>
      <c r="G56" s="29" t="n">
        <f aca="false">NORMSDIST(NORMSINV($F56)+S$19+W$19)</f>
        <v>0.132992932727842</v>
      </c>
      <c r="H56" s="29" t="n">
        <f aca="false">NORMSDIST(NORMSINV($F56)+T$19+X$19)</f>
        <v>0.117618634594387</v>
      </c>
      <c r="I56" s="29" t="n">
        <f aca="false">NORMSDIST(NORMSINV($F56)+U$19+Y$19)</f>
        <v>0.101212925097589</v>
      </c>
      <c r="J56" s="29" t="n">
        <f aca="false">NORMSDIST(NORMSINV($F56)+V$19+Z$19)</f>
        <v>0.103510974971077</v>
      </c>
      <c r="K56" s="30" t="n">
        <f aca="false">G56/$F56</f>
        <v>1.32992932727842</v>
      </c>
      <c r="L56" s="30" t="n">
        <f aca="false">H56/$F56</f>
        <v>1.17618634594387</v>
      </c>
      <c r="M56" s="30" t="n">
        <f aca="false">I56/$F56</f>
        <v>1.01212925097589</v>
      </c>
      <c r="N56" s="30" t="n">
        <f aca="false">J56/$F56</f>
        <v>1.03510974971077</v>
      </c>
    </row>
    <row r="57" customFormat="false" ht="15" hidden="false" customHeight="true" outlineLevel="0" collapsed="false">
      <c r="B57" s="27" t="str">
        <f aca="false">$B$20</f>
        <v>S05</v>
      </c>
      <c r="C57" s="27" t="str">
        <f aca="false">$C$20</f>
        <v>Electricity, Gas, Water &amp; Waste</v>
      </c>
      <c r="D57" s="21" t="s">
        <v>428</v>
      </c>
      <c r="E57" s="21" t="str">
        <f aca="false">B57&amp;"|"&amp;D57</f>
        <v>S05|MR1</v>
      </c>
      <c r="F57" s="28" t="n">
        <f aca="false">INDEX(RatingGrades!$C$6:$C$12,MATCH(D57,RatingGrades!$B$6:$B$12,0))</f>
        <v>0.001</v>
      </c>
      <c r="G57" s="29" t="n">
        <f aca="false">NORMSDIST(NORMSINV($F57)+S$20+W$20)</f>
        <v>0.00189132012213673</v>
      </c>
      <c r="H57" s="29" t="n">
        <f aca="false">NORMSDIST(NORMSINV($F57)+T$20+X$20)</f>
        <v>0.00143440353450065</v>
      </c>
      <c r="I57" s="29" t="n">
        <f aca="false">NORMSDIST(NORMSINV($F57)+U$20+Y$20)</f>
        <v>0.00102878008467951</v>
      </c>
      <c r="J57" s="29" t="n">
        <f aca="false">NORMSDIST(NORMSINV($F57)+V$20+Z$20)</f>
        <v>0.00108384047572622</v>
      </c>
      <c r="K57" s="30" t="n">
        <f aca="false">G57/$F57</f>
        <v>1.89132012213673</v>
      </c>
      <c r="L57" s="30" t="n">
        <f aca="false">H57/$F57</f>
        <v>1.43440353450065</v>
      </c>
      <c r="M57" s="30" t="n">
        <f aca="false">I57/$F57</f>
        <v>1.02878008467951</v>
      </c>
      <c r="N57" s="30" t="n">
        <f aca="false">J57/$F57</f>
        <v>1.08384047572622</v>
      </c>
    </row>
    <row r="58" customFormat="false" ht="15" hidden="false" customHeight="true" outlineLevel="0" collapsed="false">
      <c r="B58" s="27" t="str">
        <f aca="false">$B$20</f>
        <v>S05</v>
      </c>
      <c r="C58" s="27" t="str">
        <f aca="false">$C$20</f>
        <v>Electricity, Gas, Water &amp; Waste</v>
      </c>
      <c r="D58" s="21" t="s">
        <v>429</v>
      </c>
      <c r="E58" s="21" t="str">
        <f aca="false">B58&amp;"|"&amp;D58</f>
        <v>S05|MR2</v>
      </c>
      <c r="F58" s="28" t="n">
        <f aca="false">INDEX(RatingGrades!$C$6:$C$12,MATCH(D58,RatingGrades!$B$6:$B$12,0))</f>
        <v>0.0025</v>
      </c>
      <c r="G58" s="29" t="n">
        <f aca="false">NORMSDIST(NORMSINV($F58)+S$20+W$20)</f>
        <v>0.00449357169310145</v>
      </c>
      <c r="H58" s="29" t="n">
        <f aca="false">NORMSDIST(NORMSINV($F58)+T$20+X$20)</f>
        <v>0.00348516917728267</v>
      </c>
      <c r="I58" s="29" t="n">
        <f aca="false">NORMSDIST(NORMSINV($F58)+U$20+Y$20)</f>
        <v>0.0025662564383089</v>
      </c>
      <c r="J58" s="29" t="n">
        <f aca="false">NORMSDIST(NORMSINV($F58)+V$20+Z$20)</f>
        <v>0.00269258305326119</v>
      </c>
      <c r="K58" s="30" t="n">
        <f aca="false">G58/$F58</f>
        <v>1.79742867724058</v>
      </c>
      <c r="L58" s="30" t="n">
        <f aca="false">H58/$F58</f>
        <v>1.39406767091307</v>
      </c>
      <c r="M58" s="30" t="n">
        <f aca="false">I58/$F58</f>
        <v>1.02650257532356</v>
      </c>
      <c r="N58" s="30" t="n">
        <f aca="false">J58/$F58</f>
        <v>1.07703322130448</v>
      </c>
    </row>
    <row r="59" customFormat="false" ht="15" hidden="false" customHeight="true" outlineLevel="0" collapsed="false">
      <c r="B59" s="27" t="str">
        <f aca="false">$B$20</f>
        <v>S05</v>
      </c>
      <c r="C59" s="27" t="str">
        <f aca="false">$C$20</f>
        <v>Electricity, Gas, Water &amp; Waste</v>
      </c>
      <c r="D59" s="21" t="s">
        <v>430</v>
      </c>
      <c r="E59" s="21" t="str">
        <f aca="false">B59&amp;"|"&amp;D59</f>
        <v>S05|MR3</v>
      </c>
      <c r="F59" s="28" t="n">
        <f aca="false">INDEX(RatingGrades!$C$6:$C$12,MATCH(D59,RatingGrades!$B$6:$B$12,0))</f>
        <v>0.005</v>
      </c>
      <c r="G59" s="29" t="n">
        <f aca="false">NORMSDIST(NORMSINV($F59)+S$20+W$20)</f>
        <v>0.00862492981681765</v>
      </c>
      <c r="H59" s="29" t="n">
        <f aca="false">NORMSDIST(NORMSINV($F59)+T$20+X$20)</f>
        <v>0.00681149825202857</v>
      </c>
      <c r="I59" s="29" t="n">
        <f aca="false">NORMSDIST(NORMSINV($F59)+U$20+Y$20)</f>
        <v>0.00512332518555667</v>
      </c>
      <c r="J59" s="29" t="n">
        <f aca="false">NORMSDIST(NORMSINV($F59)+V$20+Z$20)</f>
        <v>0.00535780759667605</v>
      </c>
      <c r="K59" s="30" t="n">
        <f aca="false">G59/$F59</f>
        <v>1.72498596336353</v>
      </c>
      <c r="L59" s="30" t="n">
        <f aca="false">H59/$F59</f>
        <v>1.36229965040571</v>
      </c>
      <c r="M59" s="30" t="n">
        <f aca="false">I59/$F59</f>
        <v>1.02466503711133</v>
      </c>
      <c r="N59" s="30" t="n">
        <f aca="false">J59/$F59</f>
        <v>1.07156151933521</v>
      </c>
    </row>
    <row r="60" customFormat="false" ht="15" hidden="false" customHeight="true" outlineLevel="0" collapsed="false">
      <c r="B60" s="27" t="str">
        <f aca="false">$B$20</f>
        <v>S05</v>
      </c>
      <c r="C60" s="27" t="str">
        <f aca="false">$C$20</f>
        <v>Electricity, Gas, Water &amp; Waste</v>
      </c>
      <c r="D60" s="21" t="s">
        <v>431</v>
      </c>
      <c r="E60" s="21" t="str">
        <f aca="false">B60&amp;"|"&amp;D60</f>
        <v>S05|MR4</v>
      </c>
      <c r="F60" s="28" t="n">
        <f aca="false">INDEX(RatingGrades!$C$6:$C$12,MATCH(D60,RatingGrades!$B$6:$B$12,0))</f>
        <v>0.01</v>
      </c>
      <c r="G60" s="29" t="n">
        <f aca="false">NORMSDIST(NORMSINV($F60)+S$20+W$20)</f>
        <v>0.0165093051788971</v>
      </c>
      <c r="H60" s="29" t="n">
        <f aca="false">NORMSDIST(NORMSINV($F60)+T$20+X$20)</f>
        <v>0.0132920086925429</v>
      </c>
      <c r="I60" s="29" t="n">
        <f aca="false">NORMSDIST(NORMSINV($F60)+U$20+Y$20)</f>
        <v>0.0102270725851712</v>
      </c>
      <c r="J60" s="29" t="n">
        <f aca="false">NORMSDIST(NORMSINV($F60)+V$20+Z$20)</f>
        <v>0.010657519672538</v>
      </c>
      <c r="K60" s="30" t="n">
        <f aca="false">G60/$F60</f>
        <v>1.65093051788971</v>
      </c>
      <c r="L60" s="30" t="n">
        <f aca="false">H60/$F60</f>
        <v>1.32920086925429</v>
      </c>
      <c r="M60" s="30" t="n">
        <f aca="false">I60/$F60</f>
        <v>1.02270725851712</v>
      </c>
      <c r="N60" s="30" t="n">
        <f aca="false">J60/$F60</f>
        <v>1.0657519672538</v>
      </c>
    </row>
    <row r="61" customFormat="false" ht="15" hidden="false" customHeight="true" outlineLevel="0" collapsed="false">
      <c r="B61" s="27" t="str">
        <f aca="false">$B$20</f>
        <v>S05</v>
      </c>
      <c r="C61" s="27" t="str">
        <f aca="false">$C$20</f>
        <v>Electricity, Gas, Water &amp; Waste</v>
      </c>
      <c r="D61" s="21" t="s">
        <v>432</v>
      </c>
      <c r="E61" s="21" t="str">
        <f aca="false">B61&amp;"|"&amp;D61</f>
        <v>S05|MR5</v>
      </c>
      <c r="F61" s="28" t="n">
        <f aca="false">INDEX(RatingGrades!$C$6:$C$12,MATCH(D61,RatingGrades!$B$6:$B$12,0))</f>
        <v>0.02</v>
      </c>
      <c r="G61" s="29" t="n">
        <f aca="false">NORMSDIST(NORMSINV($F61)+S$20+W$20)</f>
        <v>0.0314952913960929</v>
      </c>
      <c r="H61" s="29" t="n">
        <f aca="false">NORMSDIST(NORMSINV($F61)+T$20+X$20)</f>
        <v>0.0258891017400892</v>
      </c>
      <c r="I61" s="29" t="n">
        <f aca="false">NORMSDIST(NORMSINV($F61)+U$20+Y$20)</f>
        <v>0.0204120403181068</v>
      </c>
      <c r="J61" s="29" t="n">
        <f aca="false">NORMSDIST(NORMSINV($F61)+V$20+Z$20)</f>
        <v>0.0211905625514875</v>
      </c>
      <c r="K61" s="30" t="n">
        <f aca="false">G61/$F61</f>
        <v>1.57476456980464</v>
      </c>
      <c r="L61" s="30" t="n">
        <f aca="false">H61/$F61</f>
        <v>1.29445508700446</v>
      </c>
      <c r="M61" s="30" t="n">
        <f aca="false">I61/$F61</f>
        <v>1.02060201590534</v>
      </c>
      <c r="N61" s="30" t="n">
        <f aca="false">J61/$F61</f>
        <v>1.05952812757437</v>
      </c>
    </row>
    <row r="62" customFormat="false" ht="15" hidden="false" customHeight="true" outlineLevel="0" collapsed="false">
      <c r="B62" s="27" t="str">
        <f aca="false">$B$20</f>
        <v>S05</v>
      </c>
      <c r="C62" s="27" t="str">
        <f aca="false">$C$20</f>
        <v>Electricity, Gas, Water &amp; Waste</v>
      </c>
      <c r="D62" s="21" t="s">
        <v>433</v>
      </c>
      <c r="E62" s="21" t="str">
        <f aca="false">B62&amp;"|"&amp;D62</f>
        <v>S05|MR6</v>
      </c>
      <c r="F62" s="28" t="n">
        <f aca="false">INDEX(RatingGrades!$C$6:$C$12,MATCH(D62,RatingGrades!$B$6:$B$12,0))</f>
        <v>0.045</v>
      </c>
      <c r="G62" s="29" t="n">
        <f aca="false">NORMSDIST(NORMSINV($F62)+S$20+W$20)</f>
        <v>0.0666898397469553</v>
      </c>
      <c r="H62" s="29" t="n">
        <f aca="false">NORMSDIST(NORMSINV($F62)+T$20+X$20)</f>
        <v>0.0562991404695714</v>
      </c>
      <c r="I62" s="29" t="n">
        <f aca="false">NORMSDIST(NORMSINV($F62)+U$20+Y$20)</f>
        <v>0.0458054178302272</v>
      </c>
      <c r="J62" s="29" t="n">
        <f aca="false">NORMSDIST(NORMSINV($F62)+V$20+Z$20)</f>
        <v>0.0473206584495934</v>
      </c>
      <c r="K62" s="30" t="n">
        <f aca="false">G62/$F62</f>
        <v>1.48199643882123</v>
      </c>
      <c r="L62" s="30" t="n">
        <f aca="false">H62/$F62</f>
        <v>1.25109201043492</v>
      </c>
      <c r="M62" s="30" t="n">
        <f aca="false">I62/$F62</f>
        <v>1.01789817400505</v>
      </c>
      <c r="N62" s="30" t="n">
        <f aca="false">J62/$F62</f>
        <v>1.05157018776874</v>
      </c>
    </row>
    <row r="63" customFormat="false" ht="15" hidden="false" customHeight="true" outlineLevel="0" collapsed="false">
      <c r="B63" s="27" t="str">
        <f aca="false">$B$20</f>
        <v>S05</v>
      </c>
      <c r="C63" s="27" t="str">
        <f aca="false">$C$20</f>
        <v>Electricity, Gas, Water &amp; Waste</v>
      </c>
      <c r="D63" s="21" t="s">
        <v>434</v>
      </c>
      <c r="E63" s="21" t="str">
        <f aca="false">B63&amp;"|"&amp;D63</f>
        <v>S05|MR7</v>
      </c>
      <c r="F63" s="28" t="n">
        <f aca="false">INDEX(RatingGrades!$C$6:$C$12,MATCH(D63,RatingGrades!$B$6:$B$12,0))</f>
        <v>0.1</v>
      </c>
      <c r="G63" s="29" t="n">
        <f aca="false">NORMSDIST(NORMSINV($F63)+S$20+W$20)</f>
        <v>0.138505011068959</v>
      </c>
      <c r="H63" s="29" t="n">
        <f aca="false">NORMSDIST(NORMSINV($F63)+T$20+X$20)</f>
        <v>0.120442850809761</v>
      </c>
      <c r="I63" s="29" t="n">
        <f aca="false">NORMSDIST(NORMSINV($F63)+U$20+Y$20)</f>
        <v>0.10148862968373</v>
      </c>
      <c r="J63" s="29" t="n">
        <f aca="false">NORMSDIST(NORMSINV($F63)+V$20+Z$20)</f>
        <v>0.104275311264662</v>
      </c>
      <c r="K63" s="30" t="n">
        <f aca="false">G63/$F63</f>
        <v>1.38505011068959</v>
      </c>
      <c r="L63" s="30" t="n">
        <f aca="false">H63/$F63</f>
        <v>1.20442850809761</v>
      </c>
      <c r="M63" s="30" t="n">
        <f aca="false">I63/$F63</f>
        <v>1.0148862968373</v>
      </c>
      <c r="N63" s="30" t="n">
        <f aca="false">J63/$F63</f>
        <v>1.04275311264662</v>
      </c>
    </row>
    <row r="64" customFormat="false" ht="15" hidden="false" customHeight="true" outlineLevel="0" collapsed="false">
      <c r="B64" s="27" t="str">
        <f aca="false">$B$21</f>
        <v>S06</v>
      </c>
      <c r="C64" s="27" t="str">
        <f aca="false">$C$21</f>
        <v>Construction</v>
      </c>
      <c r="D64" s="21" t="s">
        <v>428</v>
      </c>
      <c r="E64" s="21" t="str">
        <f aca="false">B64&amp;"|"&amp;D64</f>
        <v>S06|MR1</v>
      </c>
      <c r="F64" s="28" t="n">
        <f aca="false">INDEX(RatingGrades!$C$6:$C$12,MATCH(D64,RatingGrades!$B$6:$B$12,0))</f>
        <v>0.001</v>
      </c>
      <c r="G64" s="29" t="n">
        <f aca="false">NORMSDIST(NORMSINV($F64)+S$21+W$21)</f>
        <v>0.00109454394453251</v>
      </c>
      <c r="H64" s="29" t="n">
        <f aca="false">NORMSDIST(NORMSINV($F64)+T$21+X$21)</f>
        <v>0.00109955609208092</v>
      </c>
      <c r="I64" s="29" t="n">
        <f aca="false">NORMSDIST(NORMSINV($F64)+U$21+Y$21)</f>
        <v>0.00102049002516847</v>
      </c>
      <c r="J64" s="29" t="n">
        <f aca="false">NORMSDIST(NORMSINV($F64)+V$21+Z$21)</f>
        <v>0.00101996406284048</v>
      </c>
      <c r="K64" s="30" t="n">
        <f aca="false">G64/$F64</f>
        <v>1.09454394453251</v>
      </c>
      <c r="L64" s="30" t="n">
        <f aca="false">H64/$F64</f>
        <v>1.09955609208092</v>
      </c>
      <c r="M64" s="30" t="n">
        <f aca="false">I64/$F64</f>
        <v>1.02049002516847</v>
      </c>
      <c r="N64" s="30" t="n">
        <f aca="false">J64/$F64</f>
        <v>1.01996406284048</v>
      </c>
    </row>
    <row r="65" customFormat="false" ht="15" hidden="false" customHeight="true" outlineLevel="0" collapsed="false">
      <c r="B65" s="27" t="str">
        <f aca="false">$B$21</f>
        <v>S06</v>
      </c>
      <c r="C65" s="27" t="str">
        <f aca="false">$C$21</f>
        <v>Construction</v>
      </c>
      <c r="D65" s="21" t="s">
        <v>429</v>
      </c>
      <c r="E65" s="21" t="str">
        <f aca="false">B65&amp;"|"&amp;D65</f>
        <v>S06|MR2</v>
      </c>
      <c r="F65" s="28" t="n">
        <f aca="false">INDEX(RatingGrades!$C$6:$C$12,MATCH(D65,RatingGrades!$B$6:$B$12,0))</f>
        <v>0.0025</v>
      </c>
      <c r="G65" s="29" t="n">
        <f aca="false">NORMSDIST(NORMSINV($F65)+S$21+W$21)</f>
        <v>0.00271707649771907</v>
      </c>
      <c r="H65" s="29" t="n">
        <f aca="false">NORMSDIST(NORMSINV($F65)+T$21+X$21)</f>
        <v>0.00272853913441072</v>
      </c>
      <c r="I65" s="29" t="n">
        <f aca="false">NORMSDIST(NORMSINV($F65)+U$21+Y$21)</f>
        <v>0.00254718757138931</v>
      </c>
      <c r="J65" s="29" t="n">
        <f aca="false">NORMSDIST(NORMSINV($F65)+V$21+Z$21)</f>
        <v>0.00254597730896805</v>
      </c>
      <c r="K65" s="30" t="n">
        <f aca="false">G65/$F65</f>
        <v>1.08683059908763</v>
      </c>
      <c r="L65" s="30" t="n">
        <f aca="false">H65/$F65</f>
        <v>1.09141565376429</v>
      </c>
      <c r="M65" s="30" t="n">
        <f aca="false">I65/$F65</f>
        <v>1.01887502855573</v>
      </c>
      <c r="N65" s="30" t="n">
        <f aca="false">J65/$F65</f>
        <v>1.01839092358722</v>
      </c>
    </row>
    <row r="66" customFormat="false" ht="15" hidden="false" customHeight="true" outlineLevel="0" collapsed="false">
      <c r="B66" s="27" t="str">
        <f aca="false">$B$21</f>
        <v>S06</v>
      </c>
      <c r="C66" s="27" t="str">
        <f aca="false">$C$21</f>
        <v>Construction</v>
      </c>
      <c r="D66" s="21" t="s">
        <v>430</v>
      </c>
      <c r="E66" s="21" t="str">
        <f aca="false">B66&amp;"|"&amp;D66</f>
        <v>S06|MR3</v>
      </c>
      <c r="F66" s="28" t="n">
        <f aca="false">INDEX(RatingGrades!$C$6:$C$12,MATCH(D66,RatingGrades!$B$6:$B$12,0))</f>
        <v>0.005</v>
      </c>
      <c r="G66" s="29" t="n">
        <f aca="false">NORMSDIST(NORMSINV($F66)+S$21+W$21)</f>
        <v>0.00540317480243203</v>
      </c>
      <c r="H66" s="29" t="n">
        <f aca="false">NORMSDIST(NORMSINV($F66)+T$21+X$21)</f>
        <v>0.00542439554767503</v>
      </c>
      <c r="I66" s="29" t="n">
        <f aca="false">NORMSDIST(NORMSINV($F66)+U$21+Y$21)</f>
        <v>0.00508785631447659</v>
      </c>
      <c r="J66" s="29" t="n">
        <f aca="false">NORMSDIST(NORMSINV($F66)+V$21+Z$21)</f>
        <v>0.00508560450969727</v>
      </c>
      <c r="K66" s="30" t="n">
        <f aca="false">G66/$F66</f>
        <v>1.08063496048641</v>
      </c>
      <c r="L66" s="30" t="n">
        <f aca="false">H66/$F66</f>
        <v>1.08487910953501</v>
      </c>
      <c r="M66" s="30" t="n">
        <f aca="false">I66/$F66</f>
        <v>1.01757126289532</v>
      </c>
      <c r="N66" s="30" t="n">
        <f aca="false">J66/$F66</f>
        <v>1.01712090193945</v>
      </c>
    </row>
    <row r="67" customFormat="false" ht="15" hidden="false" customHeight="true" outlineLevel="0" collapsed="false">
      <c r="B67" s="27" t="str">
        <f aca="false">$B$21</f>
        <v>S06</v>
      </c>
      <c r="C67" s="27" t="str">
        <f aca="false">$C$21</f>
        <v>Construction</v>
      </c>
      <c r="D67" s="21" t="s">
        <v>431</v>
      </c>
      <c r="E67" s="21" t="str">
        <f aca="false">B67&amp;"|"&amp;D67</f>
        <v>S06|MR4</v>
      </c>
      <c r="F67" s="28" t="n">
        <f aca="false">INDEX(RatingGrades!$C$6:$C$12,MATCH(D67,RatingGrades!$B$6:$B$12,0))</f>
        <v>0.01</v>
      </c>
      <c r="G67" s="29" t="n">
        <f aca="false">NORMSDIST(NORMSINV($F67)+S$21+W$21)</f>
        <v>0.0107406108282132</v>
      </c>
      <c r="H67" s="29" t="n">
        <f aca="false">NORMSDIST(NORMSINV($F67)+T$21+X$21)</f>
        <v>0.010779456285763</v>
      </c>
      <c r="I67" s="29" t="n">
        <f aca="false">NORMSDIST(NORMSINV($F67)+U$21+Y$21)</f>
        <v>0.0101618143798649</v>
      </c>
      <c r="J67" s="29" t="n">
        <f aca="false">NORMSDIST(NORMSINV($F67)+V$21+Z$21)</f>
        <v>0.0101576700208624</v>
      </c>
      <c r="K67" s="30" t="n">
        <f aca="false">G67/$F67</f>
        <v>1.07406108282132</v>
      </c>
      <c r="L67" s="30" t="n">
        <f aca="false">H67/$F67</f>
        <v>1.0779456285763</v>
      </c>
      <c r="M67" s="30" t="n">
        <f aca="false">I67/$F67</f>
        <v>1.01618143798649</v>
      </c>
      <c r="N67" s="30" t="n">
        <f aca="false">J67/$F67</f>
        <v>1.01576700208624</v>
      </c>
    </row>
    <row r="68" customFormat="false" ht="15" hidden="false" customHeight="true" outlineLevel="0" collapsed="false">
      <c r="B68" s="27" t="str">
        <f aca="false">$B$21</f>
        <v>S06</v>
      </c>
      <c r="C68" s="27" t="str">
        <f aca="false">$C$21</f>
        <v>Construction</v>
      </c>
      <c r="D68" s="21" t="s">
        <v>432</v>
      </c>
      <c r="E68" s="21" t="str">
        <f aca="false">B68&amp;"|"&amp;D68</f>
        <v>S06|MR5</v>
      </c>
      <c r="F68" s="28" t="n">
        <f aca="false">INDEX(RatingGrades!$C$6:$C$12,MATCH(D68,RatingGrades!$B$6:$B$12,0))</f>
        <v>0.02</v>
      </c>
      <c r="G68" s="29" t="n">
        <f aca="false">NORMSDIST(NORMSINV($F68)+S$21+W$21)</f>
        <v>0.0213404676317363</v>
      </c>
      <c r="H68" s="29" t="n">
        <f aca="false">NORMSDIST(NORMSINV($F68)+T$21+X$21)</f>
        <v>0.0214105077727776</v>
      </c>
      <c r="I68" s="29" t="n">
        <f aca="false">NORMSDIST(NORMSINV($F68)+U$21+Y$21)</f>
        <v>0.0202937212692854</v>
      </c>
      <c r="J68" s="29" t="n">
        <f aca="false">NORMSDIST(NORMSINV($F68)+V$21+Z$21)</f>
        <v>0.0202862045446956</v>
      </c>
      <c r="K68" s="30" t="n">
        <f aca="false">G68/$F68</f>
        <v>1.06702338158682</v>
      </c>
      <c r="L68" s="30" t="n">
        <f aca="false">H68/$F68</f>
        <v>1.07052538863888</v>
      </c>
      <c r="M68" s="30" t="n">
        <f aca="false">I68/$F68</f>
        <v>1.01468606346427</v>
      </c>
      <c r="N68" s="30" t="n">
        <f aca="false">J68/$F68</f>
        <v>1.01431022723478</v>
      </c>
    </row>
    <row r="69" customFormat="false" ht="15" hidden="false" customHeight="true" outlineLevel="0" collapsed="false">
      <c r="B69" s="27" t="str">
        <f aca="false">$B$21</f>
        <v>S06</v>
      </c>
      <c r="C69" s="27" t="str">
        <f aca="false">$C$21</f>
        <v>Construction</v>
      </c>
      <c r="D69" s="21" t="s">
        <v>433</v>
      </c>
      <c r="E69" s="21" t="str">
        <f aca="false">B69&amp;"|"&amp;D69</f>
        <v>S06|MR6</v>
      </c>
      <c r="F69" s="28" t="n">
        <f aca="false">INDEX(RatingGrades!$C$6:$C$12,MATCH(D69,RatingGrades!$B$6:$B$12,0))</f>
        <v>0.045</v>
      </c>
      <c r="G69" s="29" t="n">
        <f aca="false">NORMSDIST(NORMSINV($F69)+S$21+W$21)</f>
        <v>0.0476114578442439</v>
      </c>
      <c r="H69" s="29" t="n">
        <f aca="false">NORMSDIST(NORMSINV($F69)+T$21+X$21)</f>
        <v>0.0477472232752885</v>
      </c>
      <c r="I69" s="29" t="n">
        <f aca="false">NORMSDIST(NORMSINV($F69)+U$21+Y$21)</f>
        <v>0.0455743876895448</v>
      </c>
      <c r="J69" s="29" t="n">
        <f aca="false">NORMSDIST(NORMSINV($F69)+V$21+Z$21)</f>
        <v>0.0455597037684658</v>
      </c>
      <c r="K69" s="30" t="n">
        <f aca="false">G69/$F69</f>
        <v>1.05803239653875</v>
      </c>
      <c r="L69" s="30" t="n">
        <f aca="false">H69/$F69</f>
        <v>1.06104940611752</v>
      </c>
      <c r="M69" s="30" t="n">
        <f aca="false">I69/$F69</f>
        <v>1.01276417087877</v>
      </c>
      <c r="N69" s="30" t="n">
        <f aca="false">J69/$F69</f>
        <v>1.01243786152146</v>
      </c>
    </row>
    <row r="70" customFormat="false" ht="15" hidden="false" customHeight="true" outlineLevel="0" collapsed="false">
      <c r="B70" s="27" t="str">
        <f aca="false">$B$21</f>
        <v>S06</v>
      </c>
      <c r="C70" s="27" t="str">
        <f aca="false">$C$21</f>
        <v>Construction</v>
      </c>
      <c r="D70" s="21" t="s">
        <v>434</v>
      </c>
      <c r="E70" s="21" t="str">
        <f aca="false">B70&amp;"|"&amp;D70</f>
        <v>S06|MR7</v>
      </c>
      <c r="F70" s="28" t="n">
        <f aca="false">INDEX(RatingGrades!$C$6:$C$12,MATCH(D70,RatingGrades!$B$6:$B$12,0))</f>
        <v>0.1</v>
      </c>
      <c r="G70" s="29" t="n">
        <f aca="false">NORMSDIST(NORMSINV($F70)+S$21+W$21)</f>
        <v>0.104808084586799</v>
      </c>
      <c r="H70" s="29" t="n">
        <f aca="false">NORMSDIST(NORMSINV($F70)+T$21+X$21)</f>
        <v>0.105056598843104</v>
      </c>
      <c r="I70" s="29" t="n">
        <f aca="false">NORMSDIST(NORMSINV($F70)+U$21+Y$21)</f>
        <v>0.10106215452424</v>
      </c>
      <c r="J70" s="29" t="n">
        <f aca="false">NORMSDIST(NORMSINV($F70)+V$21+Z$21)</f>
        <v>0.101035034041177</v>
      </c>
      <c r="K70" s="30" t="n">
        <f aca="false">G70/$F70</f>
        <v>1.04808084586799</v>
      </c>
      <c r="L70" s="30" t="n">
        <f aca="false">H70/$F70</f>
        <v>1.05056598843104</v>
      </c>
      <c r="M70" s="30" t="n">
        <f aca="false">I70/$F70</f>
        <v>1.0106215452424</v>
      </c>
      <c r="N70" s="30" t="n">
        <f aca="false">J70/$F70</f>
        <v>1.01035034041177</v>
      </c>
    </row>
    <row r="71" customFormat="false" ht="15" hidden="false" customHeight="true" outlineLevel="0" collapsed="false">
      <c r="B71" s="27" t="str">
        <f aca="false">$B$22</f>
        <v>S07</v>
      </c>
      <c r="C71" s="27" t="str">
        <f aca="false">$C$22</f>
        <v>Wholesale &amp; Retail Trade</v>
      </c>
      <c r="D71" s="21" t="s">
        <v>428</v>
      </c>
      <c r="E71" s="21" t="str">
        <f aca="false">B71&amp;"|"&amp;D71</f>
        <v>S07|MR1</v>
      </c>
      <c r="F71" s="28" t="n">
        <f aca="false">INDEX(RatingGrades!$C$6:$C$12,MATCH(D71,RatingGrades!$B$6:$B$12,0))</f>
        <v>0.001</v>
      </c>
      <c r="G71" s="29" t="n">
        <f aca="false">NORMSDIST(NORMSINV($F71)+S$22+W$22)</f>
        <v>0.00110186546536402</v>
      </c>
      <c r="H71" s="29" t="n">
        <f aca="false">NORMSDIST(NORMSINV($F71)+T$22+X$22)</f>
        <v>0.00109671688971393</v>
      </c>
      <c r="I71" s="29" t="n">
        <f aca="false">NORMSDIST(NORMSINV($F71)+U$22+Y$22)</f>
        <v>0.00100678826764902</v>
      </c>
      <c r="J71" s="29" t="n">
        <f aca="false">NORMSDIST(NORMSINV($F71)+V$22+Z$22)</f>
        <v>0.00101000755304714</v>
      </c>
      <c r="K71" s="30" t="n">
        <f aca="false">G71/$F71</f>
        <v>1.10186546536402</v>
      </c>
      <c r="L71" s="30" t="n">
        <f aca="false">H71/$F71</f>
        <v>1.09671688971393</v>
      </c>
      <c r="M71" s="30" t="n">
        <f aca="false">I71/$F71</f>
        <v>1.00678826764902</v>
      </c>
      <c r="N71" s="30" t="n">
        <f aca="false">J71/$F71</f>
        <v>1.01000755304714</v>
      </c>
    </row>
    <row r="72" customFormat="false" ht="15" hidden="false" customHeight="true" outlineLevel="0" collapsed="false">
      <c r="B72" s="27" t="str">
        <f aca="false">$B$22</f>
        <v>S07</v>
      </c>
      <c r="C72" s="27" t="str">
        <f aca="false">$C$22</f>
        <v>Wholesale &amp; Retail Trade</v>
      </c>
      <c r="D72" s="21" t="s">
        <v>429</v>
      </c>
      <c r="E72" s="21" t="str">
        <f aca="false">B72&amp;"|"&amp;D72</f>
        <v>S07|MR2</v>
      </c>
      <c r="F72" s="28" t="n">
        <f aca="false">INDEX(RatingGrades!$C$6:$C$12,MATCH(D72,RatingGrades!$B$6:$B$12,0))</f>
        <v>0.0025</v>
      </c>
      <c r="G72" s="29" t="n">
        <f aca="false">NORMSDIST(NORMSINV($F72)+S$22+W$22)</f>
        <v>0.00273381911288228</v>
      </c>
      <c r="H72" s="29" t="n">
        <f aca="false">NORMSDIST(NORMSINV($F72)+T$22+X$22)</f>
        <v>0.00272204650567568</v>
      </c>
      <c r="I72" s="29" t="n">
        <f aca="false">NORMSDIST(NORMSINV($F72)+U$22+Y$22)</f>
        <v>0.00251564199793768</v>
      </c>
      <c r="J72" s="29" t="n">
        <f aca="false">NORMSDIST(NORMSINV($F72)+V$22+Z$22)</f>
        <v>0.00252305699357333</v>
      </c>
      <c r="K72" s="30" t="n">
        <f aca="false">G72/$F72</f>
        <v>1.09352764515291</v>
      </c>
      <c r="L72" s="30" t="n">
        <f aca="false">H72/$F72</f>
        <v>1.08881860227027</v>
      </c>
      <c r="M72" s="30" t="n">
        <f aca="false">I72/$F72</f>
        <v>1.00625679917507</v>
      </c>
      <c r="N72" s="30" t="n">
        <f aca="false">J72/$F72</f>
        <v>1.00922279742933</v>
      </c>
    </row>
    <row r="73" customFormat="false" ht="15" hidden="false" customHeight="true" outlineLevel="0" collapsed="false">
      <c r="B73" s="27" t="str">
        <f aca="false">$B$22</f>
        <v>S07</v>
      </c>
      <c r="C73" s="27" t="str">
        <f aca="false">$C$22</f>
        <v>Wholesale &amp; Retail Trade</v>
      </c>
      <c r="D73" s="21" t="s">
        <v>430</v>
      </c>
      <c r="E73" s="21" t="str">
        <f aca="false">B73&amp;"|"&amp;D73</f>
        <v>S07|MR3</v>
      </c>
      <c r="F73" s="28" t="n">
        <f aca="false">INDEX(RatingGrades!$C$6:$C$12,MATCH(D73,RatingGrades!$B$6:$B$12,0))</f>
        <v>0.005</v>
      </c>
      <c r="G73" s="29" t="n">
        <f aca="false">NORMSDIST(NORMSINV($F73)+S$22+W$22)</f>
        <v>0.0054341681023243</v>
      </c>
      <c r="H73" s="29" t="n">
        <f aca="false">NORMSDIST(NORMSINV($F73)+T$22+X$22)</f>
        <v>0.00541237658724532</v>
      </c>
      <c r="I73" s="29" t="n">
        <f aca="false">NORMSDIST(NORMSINV($F73)+U$22+Y$22)</f>
        <v>0.00502913668147443</v>
      </c>
      <c r="J73" s="29" t="n">
        <f aca="false">NORMSDIST(NORMSINV($F73)+V$22+Z$22)</f>
        <v>0.00504294403022024</v>
      </c>
      <c r="K73" s="30" t="n">
        <f aca="false">G73/$F73</f>
        <v>1.08683362046486</v>
      </c>
      <c r="L73" s="30" t="n">
        <f aca="false">H73/$F73</f>
        <v>1.08247531744906</v>
      </c>
      <c r="M73" s="30" t="n">
        <f aca="false">I73/$F73</f>
        <v>1.00582733629489</v>
      </c>
      <c r="N73" s="30" t="n">
        <f aca="false">J73/$F73</f>
        <v>1.00858880604405</v>
      </c>
    </row>
    <row r="74" customFormat="false" ht="15" hidden="false" customHeight="true" outlineLevel="0" collapsed="false">
      <c r="B74" s="27" t="str">
        <f aca="false">$B$22</f>
        <v>S07</v>
      </c>
      <c r="C74" s="27" t="str">
        <f aca="false">$C$22</f>
        <v>Wholesale &amp; Retail Trade</v>
      </c>
      <c r="D74" s="21" t="s">
        <v>431</v>
      </c>
      <c r="E74" s="21" t="str">
        <f aca="false">B74&amp;"|"&amp;D74</f>
        <v>S07|MR4</v>
      </c>
      <c r="F74" s="28" t="n">
        <f aca="false">INDEX(RatingGrades!$C$6:$C$12,MATCH(D74,RatingGrades!$B$6:$B$12,0))</f>
        <v>0.01</v>
      </c>
      <c r="G74" s="29" t="n">
        <f aca="false">NORMSDIST(NORMSINV($F74)+S$22+W$22)</f>
        <v>0.0107973409029758</v>
      </c>
      <c r="H74" s="29" t="n">
        <f aca="false">NORMSDIST(NORMSINV($F74)+T$22+X$22)</f>
        <v>0.0107574567057056</v>
      </c>
      <c r="I74" s="29" t="n">
        <f aca="false">NORMSDIST(NORMSINV($F74)+U$22+Y$22)</f>
        <v>0.0100536911447747</v>
      </c>
      <c r="J74" s="29" t="n">
        <f aca="false">NORMSDIST(NORMSINV($F74)+V$22+Z$22)</f>
        <v>0.010079125027323</v>
      </c>
      <c r="K74" s="30" t="n">
        <f aca="false">G74/$F74</f>
        <v>1.07973409029758</v>
      </c>
      <c r="L74" s="30" t="n">
        <f aca="false">H74/$F74</f>
        <v>1.07574567057056</v>
      </c>
      <c r="M74" s="30" t="n">
        <f aca="false">I74/$F74</f>
        <v>1.00536911447747</v>
      </c>
      <c r="N74" s="30" t="n">
        <f aca="false">J74/$F74</f>
        <v>1.0079125027323</v>
      </c>
    </row>
    <row r="75" customFormat="false" ht="15" hidden="false" customHeight="true" outlineLevel="0" collapsed="false">
      <c r="B75" s="27" t="str">
        <f aca="false">$B$22</f>
        <v>S07</v>
      </c>
      <c r="C75" s="27" t="str">
        <f aca="false">$C$22</f>
        <v>Wholesale &amp; Retail Trade</v>
      </c>
      <c r="D75" s="21" t="s">
        <v>432</v>
      </c>
      <c r="E75" s="21" t="str">
        <f aca="false">B75&amp;"|"&amp;D75</f>
        <v>S07|MR5</v>
      </c>
      <c r="F75" s="28" t="n">
        <f aca="false">INDEX(RatingGrades!$C$6:$C$12,MATCH(D75,RatingGrades!$B$6:$B$12,0))</f>
        <v>0.02</v>
      </c>
      <c r="G75" s="29" t="n">
        <f aca="false">NORMSDIST(NORMSINV($F75)+S$22+W$22)</f>
        <v>0.0214427457908467</v>
      </c>
      <c r="H75" s="29" t="n">
        <f aca="false">NORMSDIST(NORMSINV($F75)+T$22+X$22)</f>
        <v>0.0213708447273465</v>
      </c>
      <c r="I75" s="29" t="n">
        <f aca="false">NORMSDIST(NORMSINV($F75)+U$22+Y$22)</f>
        <v>0.020097512333816</v>
      </c>
      <c r="J75" s="29" t="n">
        <f aca="false">NORMSDIST(NORMSINV($F75)+V$22+Z$22)</f>
        <v>0.0201436860133207</v>
      </c>
      <c r="K75" s="30" t="n">
        <f aca="false">G75/$F75</f>
        <v>1.07213728954233</v>
      </c>
      <c r="L75" s="30" t="n">
        <f aca="false">H75/$F75</f>
        <v>1.06854223636733</v>
      </c>
      <c r="M75" s="30" t="n">
        <f aca="false">I75/$F75</f>
        <v>1.0048756166908</v>
      </c>
      <c r="N75" s="30" t="n">
        <f aca="false">J75/$F75</f>
        <v>1.00718430066604</v>
      </c>
    </row>
    <row r="76" customFormat="false" ht="15" hidden="false" customHeight="true" outlineLevel="0" collapsed="false">
      <c r="B76" s="27" t="str">
        <f aca="false">$B$22</f>
        <v>S07</v>
      </c>
      <c r="C76" s="27" t="str">
        <f aca="false">$C$22</f>
        <v>Wholesale &amp; Retail Trade</v>
      </c>
      <c r="D76" s="21" t="s">
        <v>433</v>
      </c>
      <c r="E76" s="21" t="str">
        <f aca="false">B76&amp;"|"&amp;D76</f>
        <v>S07|MR6</v>
      </c>
      <c r="F76" s="28" t="n">
        <f aca="false">INDEX(RatingGrades!$C$6:$C$12,MATCH(D76,RatingGrades!$B$6:$B$12,0))</f>
        <v>0.045</v>
      </c>
      <c r="G76" s="29" t="n">
        <f aca="false">NORMSDIST(NORMSINV($F76)+S$22+W$22)</f>
        <v>0.0478096909423553</v>
      </c>
      <c r="H76" s="29" t="n">
        <f aca="false">NORMSDIST(NORMSINV($F76)+T$22+X$22)</f>
        <v>0.0476703488120992</v>
      </c>
      <c r="I76" s="29" t="n">
        <f aca="false">NORMSDIST(NORMSINV($F76)+U$22+Y$22)</f>
        <v>0.0451908283115891</v>
      </c>
      <c r="J76" s="29" t="n">
        <f aca="false">NORMSDIST(NORMSINV($F76)+V$22+Z$22)</f>
        <v>0.0452811407552832</v>
      </c>
      <c r="K76" s="30" t="n">
        <f aca="false">G76/$F76</f>
        <v>1.06243757649679</v>
      </c>
      <c r="L76" s="30" t="n">
        <f aca="false">H76/$F76</f>
        <v>1.05934108471332</v>
      </c>
      <c r="M76" s="30" t="n">
        <f aca="false">I76/$F76</f>
        <v>1.00424062914643</v>
      </c>
      <c r="N76" s="30" t="n">
        <f aca="false">J76/$F76</f>
        <v>1.00624757233963</v>
      </c>
    </row>
    <row r="77" customFormat="false" ht="15" hidden="false" customHeight="true" outlineLevel="0" collapsed="false">
      <c r="B77" s="27" t="str">
        <f aca="false">$B$22</f>
        <v>S07</v>
      </c>
      <c r="C77" s="27" t="str">
        <f aca="false">$C$22</f>
        <v>Wholesale &amp; Retail Trade</v>
      </c>
      <c r="D77" s="21" t="s">
        <v>434</v>
      </c>
      <c r="E77" s="21" t="str">
        <f aca="false">B77&amp;"|"&amp;D77</f>
        <v>S07|MR7</v>
      </c>
      <c r="F77" s="28" t="n">
        <f aca="false">INDEX(RatingGrades!$C$6:$C$12,MATCH(D77,RatingGrades!$B$6:$B$12,0))</f>
        <v>0.1</v>
      </c>
      <c r="G77" s="29" t="n">
        <f aca="false">NORMSDIST(NORMSINV($F77)+S$22+W$22)</f>
        <v>0.105170896704509</v>
      </c>
      <c r="H77" s="29" t="n">
        <f aca="false">NORMSDIST(NORMSINV($F77)+T$22+X$22)</f>
        <v>0.104915899880846</v>
      </c>
      <c r="I77" s="29" t="n">
        <f aca="false">NORMSDIST(NORMSINV($F77)+U$22+Y$22)</f>
        <v>0.100353172829321</v>
      </c>
      <c r="J77" s="29" t="n">
        <f aca="false">NORMSDIST(NORMSINV($F77)+V$22+Z$22)</f>
        <v>0.100520215053412</v>
      </c>
      <c r="K77" s="30" t="n">
        <f aca="false">G77/$F77</f>
        <v>1.05170896704509</v>
      </c>
      <c r="L77" s="30" t="n">
        <f aca="false">H77/$F77</f>
        <v>1.04915899880846</v>
      </c>
      <c r="M77" s="30" t="n">
        <f aca="false">I77/$F77</f>
        <v>1.00353172829321</v>
      </c>
      <c r="N77" s="30" t="n">
        <f aca="false">J77/$F77</f>
        <v>1.00520215053412</v>
      </c>
    </row>
    <row r="78" customFormat="false" ht="15" hidden="false" customHeight="true" outlineLevel="0" collapsed="false">
      <c r="B78" s="27" t="str">
        <f aca="false">$B$23</f>
        <v>S08</v>
      </c>
      <c r="C78" s="27" t="str">
        <f aca="false">$C$23</f>
        <v>Transport &amp; Storage</v>
      </c>
      <c r="D78" s="21" t="s">
        <v>428</v>
      </c>
      <c r="E78" s="21" t="str">
        <f aca="false">B78&amp;"|"&amp;D78</f>
        <v>S08|MR1</v>
      </c>
      <c r="F78" s="28" t="n">
        <f aca="false">INDEX(RatingGrades!$C$6:$C$12,MATCH(D78,RatingGrades!$B$6:$B$12,0))</f>
        <v>0.001</v>
      </c>
      <c r="G78" s="29" t="n">
        <f aca="false">NORMSDIST(NORMSINV($F78)+S$23+W$23)</f>
        <v>0.00127870503639162</v>
      </c>
      <c r="H78" s="29" t="n">
        <f aca="false">NORMSDIST(NORMSINV($F78)+T$23+X$23)</f>
        <v>0.0011715746238373</v>
      </c>
      <c r="I78" s="29" t="n">
        <f aca="false">NORMSDIST(NORMSINV($F78)+U$23+Y$23)</f>
        <v>0.00101500979761494</v>
      </c>
      <c r="J78" s="29" t="n">
        <f aca="false">NORMSDIST(NORMSINV($F78)+V$23+Z$23)</f>
        <v>0.00102841855061612</v>
      </c>
      <c r="K78" s="30" t="n">
        <f aca="false">G78/$F78</f>
        <v>1.27870503639162</v>
      </c>
      <c r="L78" s="30" t="n">
        <f aca="false">H78/$F78</f>
        <v>1.1715746238373</v>
      </c>
      <c r="M78" s="30" t="n">
        <f aca="false">I78/$F78</f>
        <v>1.01500979761494</v>
      </c>
      <c r="N78" s="30" t="n">
        <f aca="false">J78/$F78</f>
        <v>1.02841855061612</v>
      </c>
    </row>
    <row r="79" customFormat="false" ht="15" hidden="false" customHeight="true" outlineLevel="0" collapsed="false">
      <c r="B79" s="27" t="str">
        <f aca="false">$B$23</f>
        <v>S08</v>
      </c>
      <c r="C79" s="27" t="str">
        <f aca="false">$C$23</f>
        <v>Transport &amp; Storage</v>
      </c>
      <c r="D79" s="21" t="s">
        <v>429</v>
      </c>
      <c r="E79" s="21" t="str">
        <f aca="false">B79&amp;"|"&amp;D79</f>
        <v>S08|MR2</v>
      </c>
      <c r="F79" s="28" t="n">
        <f aca="false">INDEX(RatingGrades!$C$6:$C$12,MATCH(D79,RatingGrades!$B$6:$B$12,0))</f>
        <v>0.0025</v>
      </c>
      <c r="G79" s="29" t="n">
        <f aca="false">NORMSDIST(NORMSINV($F79)+S$23+W$23)</f>
        <v>0.00313548186260059</v>
      </c>
      <c r="H79" s="29" t="n">
        <f aca="false">NORMSDIST(NORMSINV($F79)+T$23+X$23)</f>
        <v>0.00289276408993301</v>
      </c>
      <c r="I79" s="29" t="n">
        <f aca="false">NORMSDIST(NORMSINV($F79)+U$23+Y$23)</f>
        <v>0.00253457474317861</v>
      </c>
      <c r="J79" s="29" t="n">
        <f aca="false">NORMSDIST(NORMSINV($F79)+V$23+Z$23)</f>
        <v>0.00256542510533628</v>
      </c>
      <c r="K79" s="30" t="n">
        <f aca="false">G79/$F79</f>
        <v>1.25419274504024</v>
      </c>
      <c r="L79" s="30" t="n">
        <f aca="false">H79/$F79</f>
        <v>1.1571056359732</v>
      </c>
      <c r="M79" s="30" t="n">
        <f aca="false">I79/$F79</f>
        <v>1.01382989727144</v>
      </c>
      <c r="N79" s="30" t="n">
        <f aca="false">J79/$F79</f>
        <v>1.02617004213451</v>
      </c>
    </row>
    <row r="80" customFormat="false" ht="15" hidden="false" customHeight="true" outlineLevel="0" collapsed="false">
      <c r="B80" s="27" t="str">
        <f aca="false">$B$23</f>
        <v>S08</v>
      </c>
      <c r="C80" s="27" t="str">
        <f aca="false">$C$23</f>
        <v>Transport &amp; Storage</v>
      </c>
      <c r="D80" s="21" t="s">
        <v>430</v>
      </c>
      <c r="E80" s="21" t="str">
        <f aca="false">B80&amp;"|"&amp;D80</f>
        <v>S08|MR3</v>
      </c>
      <c r="F80" s="28" t="n">
        <f aca="false">INDEX(RatingGrades!$C$6:$C$12,MATCH(D80,RatingGrades!$B$6:$B$12,0))</f>
        <v>0.005</v>
      </c>
      <c r="G80" s="29" t="n">
        <f aca="false">NORMSDIST(NORMSINV($F80)+S$23+W$23)</f>
        <v>0.00617362056408777</v>
      </c>
      <c r="H80" s="29" t="n">
        <f aca="false">NORMSDIST(NORMSINV($F80)+T$23+X$23)</f>
        <v>0.00572770268938059</v>
      </c>
      <c r="I80" s="29" t="n">
        <f aca="false">NORMSDIST(NORMSINV($F80)+U$23+Y$23)</f>
        <v>0.00506438505920391</v>
      </c>
      <c r="J80" s="29" t="n">
        <f aca="false">NORMSDIST(NORMSINV($F80)+V$23+Z$23)</f>
        <v>0.00512177928346019</v>
      </c>
      <c r="K80" s="30" t="n">
        <f aca="false">G80/$F80</f>
        <v>1.23472411281755</v>
      </c>
      <c r="L80" s="30" t="n">
        <f aca="false">H80/$F80</f>
        <v>1.14554053787612</v>
      </c>
      <c r="M80" s="30" t="n">
        <f aca="false">I80/$F80</f>
        <v>1.01287701184078</v>
      </c>
      <c r="N80" s="30" t="n">
        <f aca="false">J80/$F80</f>
        <v>1.02435585669204</v>
      </c>
    </row>
    <row r="81" customFormat="false" ht="15" hidden="false" customHeight="true" outlineLevel="0" collapsed="false">
      <c r="B81" s="27" t="str">
        <f aca="false">$B$23</f>
        <v>S08</v>
      </c>
      <c r="C81" s="27" t="str">
        <f aca="false">$C$23</f>
        <v>Transport &amp; Storage</v>
      </c>
      <c r="D81" s="21" t="s">
        <v>431</v>
      </c>
      <c r="E81" s="21" t="str">
        <f aca="false">B81&amp;"|"&amp;D81</f>
        <v>S08|MR4</v>
      </c>
      <c r="F81" s="28" t="n">
        <f aca="false">INDEX(RatingGrades!$C$6:$C$12,MATCH(D81,RatingGrades!$B$6:$B$12,0))</f>
        <v>0.01</v>
      </c>
      <c r="G81" s="29" t="n">
        <f aca="false">NORMSDIST(NORMSINV($F81)+S$23+W$23)</f>
        <v>0.012142813740172</v>
      </c>
      <c r="H81" s="29" t="n">
        <f aca="false">NORMSDIST(NORMSINV($F81)+T$23+X$23)</f>
        <v>0.0113332509643541</v>
      </c>
      <c r="I81" s="29" t="n">
        <f aca="false">NORMSDIST(NORMSINV($F81)+U$23+Y$23)</f>
        <v>0.0101186086500082</v>
      </c>
      <c r="J81" s="29" t="n">
        <f aca="false">NORMSDIST(NORMSINV($F81)+V$23+Z$23)</f>
        <v>0.0102242291383803</v>
      </c>
      <c r="K81" s="30" t="n">
        <f aca="false">G81/$F81</f>
        <v>1.2142813740172</v>
      </c>
      <c r="L81" s="30" t="n">
        <f aca="false">H81/$F81</f>
        <v>1.13332509643541</v>
      </c>
      <c r="M81" s="30" t="n">
        <f aca="false">I81/$F81</f>
        <v>1.01186086500082</v>
      </c>
      <c r="N81" s="30" t="n">
        <f aca="false">J81/$F81</f>
        <v>1.02242291383803</v>
      </c>
    </row>
    <row r="82" customFormat="false" ht="15" hidden="false" customHeight="true" outlineLevel="0" collapsed="false">
      <c r="B82" s="27" t="str">
        <f aca="false">$B$23</f>
        <v>S08</v>
      </c>
      <c r="C82" s="27" t="str">
        <f aca="false">$C$23</f>
        <v>Transport &amp; Storage</v>
      </c>
      <c r="D82" s="21" t="s">
        <v>432</v>
      </c>
      <c r="E82" s="21" t="str">
        <f aca="false">B82&amp;"|"&amp;D82</f>
        <v>S08|MR5</v>
      </c>
      <c r="F82" s="28" t="n">
        <f aca="false">INDEX(RatingGrades!$C$6:$C$12,MATCH(D82,RatingGrades!$B$6:$B$12,0))</f>
        <v>0.02</v>
      </c>
      <c r="G82" s="29" t="n">
        <f aca="false">NORMSDIST(NORMSINV($F82)+S$23+W$23)</f>
        <v>0.0238528156746768</v>
      </c>
      <c r="H82" s="29" t="n">
        <f aca="false">NORMSDIST(NORMSINV($F82)+T$23+X$23)</f>
        <v>0.0224062337411599</v>
      </c>
      <c r="I82" s="29" t="n">
        <f aca="false">NORMSDIST(NORMSINV($F82)+U$23+Y$23)</f>
        <v>0.0202153425283245</v>
      </c>
      <c r="J82" s="29" t="n">
        <f aca="false">NORMSDIST(NORMSINV($F82)+V$23+Z$23)</f>
        <v>0.020406886507623</v>
      </c>
      <c r="K82" s="30" t="n">
        <f aca="false">G82/$F82</f>
        <v>1.19264078373384</v>
      </c>
      <c r="L82" s="30" t="n">
        <f aca="false">H82/$F82</f>
        <v>1.120311687058</v>
      </c>
      <c r="M82" s="30" t="n">
        <f aca="false">I82/$F82</f>
        <v>1.01076712641623</v>
      </c>
      <c r="N82" s="30" t="n">
        <f aca="false">J82/$F82</f>
        <v>1.02034432538115</v>
      </c>
    </row>
    <row r="83" customFormat="false" ht="15" hidden="false" customHeight="true" outlineLevel="0" collapsed="false">
      <c r="B83" s="27" t="str">
        <f aca="false">$B$23</f>
        <v>S08</v>
      </c>
      <c r="C83" s="27" t="str">
        <f aca="false">$C$23</f>
        <v>Transport &amp; Storage</v>
      </c>
      <c r="D83" s="21" t="s">
        <v>433</v>
      </c>
      <c r="E83" s="21" t="str">
        <f aca="false">B83&amp;"|"&amp;D83</f>
        <v>S08|MR6</v>
      </c>
      <c r="F83" s="28" t="n">
        <f aca="false">INDEX(RatingGrades!$C$6:$C$12,MATCH(D83,RatingGrades!$B$6:$B$12,0))</f>
        <v>0.045</v>
      </c>
      <c r="G83" s="29" t="n">
        <f aca="false">NORMSDIST(NORMSINV($F83)+S$23+W$23)</f>
        <v>0.0524412882131403</v>
      </c>
      <c r="H83" s="29" t="n">
        <f aca="false">NORMSDIST(NORMSINV($F83)+T$23+X$23)</f>
        <v>0.0496702501498675</v>
      </c>
      <c r="I83" s="29" t="n">
        <f aca="false">NORMSDIST(NORMSINV($F83)+U$23+Y$23)</f>
        <v>0.0454212351109643</v>
      </c>
      <c r="J83" s="29" t="n">
        <f aca="false">NORMSDIST(NORMSINV($F83)+V$23+Z$23)</f>
        <v>0.045795358632554</v>
      </c>
      <c r="K83" s="30" t="n">
        <f aca="false">G83/$F83</f>
        <v>1.16536196029201</v>
      </c>
      <c r="L83" s="30" t="n">
        <f aca="false">H83/$F83</f>
        <v>1.10378333666372</v>
      </c>
      <c r="M83" s="30" t="n">
        <f aca="false">I83/$F83</f>
        <v>1.00936078024365</v>
      </c>
      <c r="N83" s="30" t="n">
        <f aca="false">J83/$F83</f>
        <v>1.01767463627898</v>
      </c>
    </row>
    <row r="84" customFormat="false" ht="15" hidden="false" customHeight="true" outlineLevel="0" collapsed="false">
      <c r="B84" s="27" t="str">
        <f aca="false">$B$23</f>
        <v>S08</v>
      </c>
      <c r="C84" s="27" t="str">
        <f aca="false">$C$23</f>
        <v>Transport &amp; Storage</v>
      </c>
      <c r="D84" s="21" t="s">
        <v>434</v>
      </c>
      <c r="E84" s="21" t="str">
        <f aca="false">B84&amp;"|"&amp;D84</f>
        <v>S08|MR7</v>
      </c>
      <c r="F84" s="28" t="n">
        <f aca="false">INDEX(RatingGrades!$C$6:$C$12,MATCH(D84,RatingGrades!$B$6:$B$12,0))</f>
        <v>0.1</v>
      </c>
      <c r="G84" s="29" t="n">
        <f aca="false">NORMSDIST(NORMSINV($F84)+S$23+W$23)</f>
        <v>0.113565189746904</v>
      </c>
      <c r="H84" s="29" t="n">
        <f aca="false">NORMSDIST(NORMSINV($F84)+T$23+X$23)</f>
        <v>0.108561740786744</v>
      </c>
      <c r="I84" s="29" t="n">
        <f aca="false">NORMSDIST(NORMSINV($F84)+U$23+Y$23)</f>
        <v>0.100779204473859</v>
      </c>
      <c r="J84" s="29" t="n">
        <f aca="false">NORMSDIST(NORMSINV($F84)+V$23+Z$23)</f>
        <v>0.10147006952868</v>
      </c>
      <c r="K84" s="30" t="n">
        <f aca="false">G84/$F84</f>
        <v>1.13565189746904</v>
      </c>
      <c r="L84" s="30" t="n">
        <f aca="false">H84/$F84</f>
        <v>1.08561740786744</v>
      </c>
      <c r="M84" s="30" t="n">
        <f aca="false">I84/$F84</f>
        <v>1.00779204473859</v>
      </c>
      <c r="N84" s="30" t="n">
        <f aca="false">J84/$F84</f>
        <v>1.0147006952868</v>
      </c>
    </row>
    <row r="85" customFormat="false" ht="15" hidden="false" customHeight="true" outlineLevel="0" collapsed="false">
      <c r="B85" s="27" t="str">
        <f aca="false">$B$24</f>
        <v>S09</v>
      </c>
      <c r="C85" s="27" t="str">
        <f aca="false">$C$24</f>
        <v>Accommodation &amp; Food Services</v>
      </c>
      <c r="D85" s="21" t="s">
        <v>428</v>
      </c>
      <c r="E85" s="21" t="str">
        <f aca="false">B85&amp;"|"&amp;D85</f>
        <v>S09|MR1</v>
      </c>
      <c r="F85" s="28" t="n">
        <f aca="false">INDEX(RatingGrades!$C$6:$C$12,MATCH(D85,RatingGrades!$B$6:$B$12,0))</f>
        <v>0.001</v>
      </c>
      <c r="G85" s="29" t="n">
        <f aca="false">NORMSDIST(NORMSINV($F85)+S$24+W$24)</f>
        <v>0.00127698926642691</v>
      </c>
      <c r="H85" s="29" t="n">
        <f aca="false">NORMSDIST(NORMSINV($F85)+T$24+X$24)</f>
        <v>0.00117008963726787</v>
      </c>
      <c r="I85" s="29" t="n">
        <f aca="false">NORMSDIST(NORMSINV($F85)+U$24+Y$24)</f>
        <v>0.0010128396901699</v>
      </c>
      <c r="J85" s="29" t="n">
        <f aca="false">NORMSDIST(NORMSINV($F85)+V$24+Z$24)</f>
        <v>0.00102673923055002</v>
      </c>
      <c r="K85" s="30" t="n">
        <f aca="false">G85/$F85</f>
        <v>1.27698926642691</v>
      </c>
      <c r="L85" s="30" t="n">
        <f aca="false">H85/$F85</f>
        <v>1.17008963726787</v>
      </c>
      <c r="M85" s="30" t="n">
        <f aca="false">I85/$F85</f>
        <v>1.0128396901699</v>
      </c>
      <c r="N85" s="30" t="n">
        <f aca="false">J85/$F85</f>
        <v>1.02673923055002</v>
      </c>
    </row>
    <row r="86" customFormat="false" ht="15" hidden="false" customHeight="true" outlineLevel="0" collapsed="false">
      <c r="B86" s="27" t="str">
        <f aca="false">$B$24</f>
        <v>S09</v>
      </c>
      <c r="C86" s="27" t="str">
        <f aca="false">$C$24</f>
        <v>Accommodation &amp; Food Services</v>
      </c>
      <c r="D86" s="21" t="s">
        <v>429</v>
      </c>
      <c r="E86" s="21" t="str">
        <f aca="false">B86&amp;"|"&amp;D86</f>
        <v>S09|MR2</v>
      </c>
      <c r="F86" s="28" t="n">
        <f aca="false">INDEX(RatingGrades!$C$6:$C$12,MATCH(D86,RatingGrades!$B$6:$B$12,0))</f>
        <v>0.0025</v>
      </c>
      <c r="G86" s="29" t="n">
        <f aca="false">NORMSDIST(NORMSINV($F86)+S$24+W$24)</f>
        <v>0.00313160867728344</v>
      </c>
      <c r="H86" s="29" t="n">
        <f aca="false">NORMSDIST(NORMSINV($F86)+T$24+X$24)</f>
        <v>0.00288938670351701</v>
      </c>
      <c r="I86" s="29" t="n">
        <f aca="false">NORMSDIST(NORMSINV($F86)+U$24+Y$24)</f>
        <v>0.0025295786237405</v>
      </c>
      <c r="J86" s="29" t="n">
        <f aca="false">NORMSDIST(NORMSINV($F86)+V$24+Z$24)</f>
        <v>0.00256156325354063</v>
      </c>
      <c r="K86" s="30" t="n">
        <f aca="false">G86/$F86</f>
        <v>1.25264347091337</v>
      </c>
      <c r="L86" s="30" t="n">
        <f aca="false">H86/$F86</f>
        <v>1.1557546814068</v>
      </c>
      <c r="M86" s="30" t="n">
        <f aca="false">I86/$F86</f>
        <v>1.0118314494962</v>
      </c>
      <c r="N86" s="30" t="n">
        <f aca="false">J86/$F86</f>
        <v>1.02462530141625</v>
      </c>
    </row>
    <row r="87" customFormat="false" ht="15" hidden="false" customHeight="true" outlineLevel="0" collapsed="false">
      <c r="B87" s="27" t="str">
        <f aca="false">$B$24</f>
        <v>S09</v>
      </c>
      <c r="C87" s="27" t="str">
        <f aca="false">$C$24</f>
        <v>Accommodation &amp; Food Services</v>
      </c>
      <c r="D87" s="21" t="s">
        <v>430</v>
      </c>
      <c r="E87" s="21" t="str">
        <f aca="false">B87&amp;"|"&amp;D87</f>
        <v>S09|MR3</v>
      </c>
      <c r="F87" s="28" t="n">
        <f aca="false">INDEX(RatingGrades!$C$6:$C$12,MATCH(D87,RatingGrades!$B$6:$B$12,0))</f>
        <v>0.005</v>
      </c>
      <c r="G87" s="29" t="n">
        <f aca="false">NORMSDIST(NORMSINV($F87)+S$24+W$24)</f>
        <v>0.00616652592188536</v>
      </c>
      <c r="H87" s="29" t="n">
        <f aca="false">NORMSDIST(NORMSINV($F87)+T$24+X$24)</f>
        <v>0.00572147831825663</v>
      </c>
      <c r="I87" s="29" t="n">
        <f aca="false">NORMSDIST(NORMSINV($F87)+U$24+Y$24)</f>
        <v>0.00505508535678845</v>
      </c>
      <c r="J87" s="29" t="n">
        <f aca="false">NORMSDIST(NORMSINV($F87)+V$24+Z$24)</f>
        <v>0.00511459750087526</v>
      </c>
      <c r="K87" s="30" t="n">
        <f aca="false">G87/$F87</f>
        <v>1.23330518437707</v>
      </c>
      <c r="L87" s="30" t="n">
        <f aca="false">H87/$F87</f>
        <v>1.14429566365133</v>
      </c>
      <c r="M87" s="30" t="n">
        <f aca="false">I87/$F87</f>
        <v>1.01101707135769</v>
      </c>
      <c r="N87" s="30" t="n">
        <f aca="false">J87/$F87</f>
        <v>1.02291950017505</v>
      </c>
    </row>
    <row r="88" customFormat="false" ht="15" hidden="false" customHeight="true" outlineLevel="0" collapsed="false">
      <c r="B88" s="27" t="str">
        <f aca="false">$B$24</f>
        <v>S09</v>
      </c>
      <c r="C88" s="27" t="str">
        <f aca="false">$C$24</f>
        <v>Accommodation &amp; Food Services</v>
      </c>
      <c r="D88" s="21" t="s">
        <v>431</v>
      </c>
      <c r="E88" s="21" t="str">
        <f aca="false">B88&amp;"|"&amp;D88</f>
        <v>S09|MR4</v>
      </c>
      <c r="F88" s="28" t="n">
        <f aca="false">INDEX(RatingGrades!$C$6:$C$12,MATCH(D88,RatingGrades!$B$6:$B$12,0))</f>
        <v>0.01</v>
      </c>
      <c r="G88" s="29" t="n">
        <f aca="false">NORMSDIST(NORMSINV($F88)+S$24+W$24)</f>
        <v>0.0121299747316073</v>
      </c>
      <c r="H88" s="29" t="n">
        <f aca="false">NORMSDIST(NORMSINV($F88)+T$24+X$24)</f>
        <v>0.0113219123846014</v>
      </c>
      <c r="I88" s="29" t="n">
        <f aca="false">NORMSDIST(NORMSINV($F88)+U$24+Y$24)</f>
        <v>0.0101014850385551</v>
      </c>
      <c r="J88" s="29" t="n">
        <f aca="false">NORMSDIST(NORMSINV($F88)+V$24+Z$24)</f>
        <v>0.0102110183909554</v>
      </c>
      <c r="K88" s="30" t="n">
        <f aca="false">G88/$F88</f>
        <v>1.21299747316073</v>
      </c>
      <c r="L88" s="30" t="n">
        <f aca="false">H88/$F88</f>
        <v>1.13219123846014</v>
      </c>
      <c r="M88" s="30" t="n">
        <f aca="false">I88/$F88</f>
        <v>1.01014850385551</v>
      </c>
      <c r="N88" s="30" t="n">
        <f aca="false">J88/$F88</f>
        <v>1.02110183909554</v>
      </c>
    </row>
    <row r="89" customFormat="false" ht="15" hidden="false" customHeight="true" outlineLevel="0" collapsed="false">
      <c r="B89" s="27" t="str">
        <f aca="false">$B$24</f>
        <v>S09</v>
      </c>
      <c r="C89" s="27" t="str">
        <f aca="false">$C$24</f>
        <v>Accommodation &amp; Food Services</v>
      </c>
      <c r="D89" s="21" t="s">
        <v>432</v>
      </c>
      <c r="E89" s="21" t="str">
        <f aca="false">B89&amp;"|"&amp;D89</f>
        <v>S09|MR5</v>
      </c>
      <c r="F89" s="28" t="n">
        <f aca="false">INDEX(RatingGrades!$C$6:$C$12,MATCH(D89,RatingGrades!$B$6:$B$12,0))</f>
        <v>0.02</v>
      </c>
      <c r="G89" s="29" t="n">
        <f aca="false">NORMSDIST(NORMSINV($F89)+S$24+W$24)</f>
        <v>0.0238299545124554</v>
      </c>
      <c r="H89" s="29" t="n">
        <f aca="false">NORMSDIST(NORMSINV($F89)+T$24+X$24)</f>
        <v>0.0223858983335343</v>
      </c>
      <c r="I89" s="29" t="n">
        <f aca="false">NORMSDIST(NORMSINV($F89)+U$24+Y$24)</f>
        <v>0.0201842694114257</v>
      </c>
      <c r="J89" s="29" t="n">
        <f aca="false">NORMSDIST(NORMSINV($F89)+V$24+Z$24)</f>
        <v>0.0203829398055092</v>
      </c>
      <c r="K89" s="30" t="n">
        <f aca="false">G89/$F89</f>
        <v>1.19149772562277</v>
      </c>
      <c r="L89" s="30" t="n">
        <f aca="false">H89/$F89</f>
        <v>1.11929491667671</v>
      </c>
      <c r="M89" s="30" t="n">
        <f aca="false">I89/$F89</f>
        <v>1.00921347057128</v>
      </c>
      <c r="N89" s="30" t="n">
        <f aca="false">J89/$F89</f>
        <v>1.01914699027546</v>
      </c>
    </row>
    <row r="90" customFormat="false" ht="15" hidden="false" customHeight="true" outlineLevel="0" collapsed="false">
      <c r="B90" s="27" t="str">
        <f aca="false">$B$24</f>
        <v>S09</v>
      </c>
      <c r="C90" s="27" t="str">
        <f aca="false">$C$24</f>
        <v>Accommodation &amp; Food Services</v>
      </c>
      <c r="D90" s="21" t="s">
        <v>433</v>
      </c>
      <c r="E90" s="21" t="str">
        <f aca="false">B90&amp;"|"&amp;D90</f>
        <v>S09|MR6</v>
      </c>
      <c r="F90" s="28" t="n">
        <f aca="false">INDEX(RatingGrades!$C$6:$C$12,MATCH(D90,RatingGrades!$B$6:$B$12,0))</f>
        <v>0.045</v>
      </c>
      <c r="G90" s="29" t="n">
        <f aca="false">NORMSDIST(NORMSINV($F90)+S$24+W$24)</f>
        <v>0.0523976979718036</v>
      </c>
      <c r="H90" s="29" t="n">
        <f aca="false">NORMSDIST(NORMSINV($F90)+T$24+X$24)</f>
        <v>0.0496311070645992</v>
      </c>
      <c r="I90" s="29" t="n">
        <f aca="false">NORMSDIST(NORMSINV($F90)+U$24+Y$24)</f>
        <v>0.0453604936765291</v>
      </c>
      <c r="J90" s="29" t="n">
        <f aca="false">NORMSDIST(NORMSINV($F90)+V$24+Z$24)</f>
        <v>0.0457486145544356</v>
      </c>
      <c r="K90" s="30" t="n">
        <f aca="false">G90/$F90</f>
        <v>1.1643932882623</v>
      </c>
      <c r="L90" s="30" t="n">
        <f aca="false">H90/$F90</f>
        <v>1.10291349032443</v>
      </c>
      <c r="M90" s="30" t="n">
        <f aca="false">I90/$F90</f>
        <v>1.00801097058954</v>
      </c>
      <c r="N90" s="30" t="n">
        <f aca="false">J90/$F90</f>
        <v>1.01663587898746</v>
      </c>
    </row>
    <row r="91" customFormat="false" ht="15" hidden="false" customHeight="true" outlineLevel="0" collapsed="false">
      <c r="B91" s="27" t="str">
        <f aca="false">$B$24</f>
        <v>S09</v>
      </c>
      <c r="C91" s="27" t="str">
        <f aca="false">$C$24</f>
        <v>Accommodation &amp; Food Services</v>
      </c>
      <c r="D91" s="21" t="s">
        <v>434</v>
      </c>
      <c r="E91" s="21" t="str">
        <f aca="false">B91&amp;"|"&amp;D91</f>
        <v>S09|MR7</v>
      </c>
      <c r="F91" s="28" t="n">
        <f aca="false">INDEX(RatingGrades!$C$6:$C$12,MATCH(D91,RatingGrades!$B$6:$B$12,0))</f>
        <v>0.1</v>
      </c>
      <c r="G91" s="29" t="n">
        <f aca="false">NORMSDIST(NORMSINV($F91)+S$24+W$24)</f>
        <v>0.113486902198397</v>
      </c>
      <c r="H91" s="29" t="n">
        <f aca="false">NORMSDIST(NORMSINV($F91)+T$24+X$24)</f>
        <v>0.108490667508728</v>
      </c>
      <c r="I91" s="29" t="n">
        <f aca="false">NORMSDIST(NORMSINV($F91)+U$24+Y$24)</f>
        <v>0.10066693242087</v>
      </c>
      <c r="J91" s="29" t="n">
        <f aca="false">NORMSDIST(NORMSINV($F91)+V$24+Z$24)</f>
        <v>0.101383811809744</v>
      </c>
      <c r="K91" s="30" t="n">
        <f aca="false">G91/$F91</f>
        <v>1.13486902198397</v>
      </c>
      <c r="L91" s="30" t="n">
        <f aca="false">H91/$F91</f>
        <v>1.08490667508728</v>
      </c>
      <c r="M91" s="30" t="n">
        <f aca="false">I91/$F91</f>
        <v>1.0066693242087</v>
      </c>
      <c r="N91" s="30" t="n">
        <f aca="false">J91/$F91</f>
        <v>1.01383811809744</v>
      </c>
    </row>
    <row r="92" customFormat="false" ht="15" hidden="false" customHeight="true" outlineLevel="0" collapsed="false">
      <c r="B92" s="27" t="str">
        <f aca="false">$B$25</f>
        <v>S10</v>
      </c>
      <c r="C92" s="27" t="str">
        <f aca="false">$C$25</f>
        <v>Financial, Professional, Public &amp; Other Services</v>
      </c>
      <c r="D92" s="21" t="s">
        <v>428</v>
      </c>
      <c r="E92" s="21" t="str">
        <f aca="false">B92&amp;"|"&amp;D92</f>
        <v>S10|MR1</v>
      </c>
      <c r="F92" s="28" t="n">
        <f aca="false">INDEX(RatingGrades!$C$6:$C$12,MATCH(D92,RatingGrades!$B$6:$B$12,0))</f>
        <v>0.001</v>
      </c>
      <c r="G92" s="29" t="n">
        <f aca="false">NORMSDIST(NORMSINV($F92)+S$25+W$25)</f>
        <v>0.00106738185828511</v>
      </c>
      <c r="H92" s="29" t="n">
        <f aca="false">NORMSDIST(NORMSINV($F92)+T$25+X$25)</f>
        <v>0.00108126283954964</v>
      </c>
      <c r="I92" s="29" t="n">
        <f aca="false">NORMSDIST(NORMSINV($F92)+U$25+Y$25)</f>
        <v>0.00100309066414537</v>
      </c>
      <c r="J92" s="29" t="n">
        <f aca="false">NORMSDIST(NORMSINV($F92)+V$25+Z$25)</f>
        <v>0.00100475345191279</v>
      </c>
      <c r="K92" s="30" t="n">
        <f aca="false">G92/$F92</f>
        <v>1.06738185828511</v>
      </c>
      <c r="L92" s="30" t="n">
        <f aca="false">H92/$F92</f>
        <v>1.08126283954964</v>
      </c>
      <c r="M92" s="30" t="n">
        <f aca="false">I92/$F92</f>
        <v>1.00309066414537</v>
      </c>
      <c r="N92" s="30" t="n">
        <f aca="false">J92/$F92</f>
        <v>1.00475345191279</v>
      </c>
    </row>
    <row r="93" customFormat="false" ht="15" hidden="false" customHeight="true" outlineLevel="0" collapsed="false">
      <c r="B93" s="27" t="str">
        <f aca="false">$B$25</f>
        <v>S10</v>
      </c>
      <c r="C93" s="27" t="str">
        <f aca="false">$C$25</f>
        <v>Financial, Professional, Public &amp; Other Services</v>
      </c>
      <c r="D93" s="21" t="s">
        <v>429</v>
      </c>
      <c r="E93" s="21" t="str">
        <f aca="false">B93&amp;"|"&amp;D93</f>
        <v>S10|MR2</v>
      </c>
      <c r="F93" s="28" t="n">
        <f aca="false">INDEX(RatingGrades!$C$6:$C$12,MATCH(D93,RatingGrades!$B$6:$B$12,0))</f>
        <v>0.0025</v>
      </c>
      <c r="G93" s="29" t="n">
        <f aca="false">NORMSDIST(NORMSINV($F93)+S$25+W$25)</f>
        <v>0.00265487967970254</v>
      </c>
      <c r="H93" s="29" t="n">
        <f aca="false">NORMSDIST(NORMSINV($F93)+T$25+X$25)</f>
        <v>0.00268668142698499</v>
      </c>
      <c r="I93" s="29" t="n">
        <f aca="false">NORMSDIST(NORMSINV($F93)+U$25+Y$25)</f>
        <v>0.0025071228271437</v>
      </c>
      <c r="J93" s="29" t="n">
        <f aca="false">NORMSDIST(NORMSINV($F93)+V$25+Z$25)</f>
        <v>0.00251095416810616</v>
      </c>
      <c r="K93" s="30" t="n">
        <f aca="false">G93/$F93</f>
        <v>1.06195187188102</v>
      </c>
      <c r="L93" s="30" t="n">
        <f aca="false">H93/$F93</f>
        <v>1.074672570794</v>
      </c>
      <c r="M93" s="30" t="n">
        <f aca="false">I93/$F93</f>
        <v>1.00284913085748</v>
      </c>
      <c r="N93" s="30" t="n">
        <f aca="false">J93/$F93</f>
        <v>1.00438166724247</v>
      </c>
    </row>
    <row r="94" customFormat="false" ht="15" hidden="false" customHeight="true" outlineLevel="0" collapsed="false">
      <c r="B94" s="27" t="str">
        <f aca="false">$B$25</f>
        <v>S10</v>
      </c>
      <c r="C94" s="27" t="str">
        <f aca="false">$C$25</f>
        <v>Financial, Professional, Public &amp; Other Services</v>
      </c>
      <c r="D94" s="21" t="s">
        <v>430</v>
      </c>
      <c r="E94" s="21" t="str">
        <f aca="false">B94&amp;"|"&amp;D94</f>
        <v>S10|MR3</v>
      </c>
      <c r="F94" s="28" t="n">
        <f aca="false">INDEX(RatingGrades!$C$6:$C$12,MATCH(D94,RatingGrades!$B$6:$B$12,0))</f>
        <v>0.005</v>
      </c>
      <c r="G94" s="29" t="n">
        <f aca="false">NORMSDIST(NORMSINV($F94)+S$25+W$25)</f>
        <v>0.00528791209726811</v>
      </c>
      <c r="H94" s="29" t="n">
        <f aca="false">NORMSDIST(NORMSINV($F94)+T$25+X$25)</f>
        <v>0.00534687187728484</v>
      </c>
      <c r="I94" s="29" t="n">
        <f aca="false">NORMSDIST(NORMSINV($F94)+U$25+Y$25)</f>
        <v>0.00501326952032131</v>
      </c>
      <c r="J94" s="29" t="n">
        <f aca="false">NORMSDIST(NORMSINV($F94)+V$25+Z$25)</f>
        <v>0.00502040598157772</v>
      </c>
      <c r="K94" s="30" t="n">
        <f aca="false">G94/$F94</f>
        <v>1.05758241945362</v>
      </c>
      <c r="L94" s="30" t="n">
        <f aca="false">H94/$F94</f>
        <v>1.06937437545697</v>
      </c>
      <c r="M94" s="30" t="n">
        <f aca="false">I94/$F94</f>
        <v>1.00265390406426</v>
      </c>
      <c r="N94" s="30" t="n">
        <f aca="false">J94/$F94</f>
        <v>1.00408119631554</v>
      </c>
    </row>
    <row r="95" customFormat="false" ht="15" hidden="false" customHeight="true" outlineLevel="0" collapsed="false">
      <c r="B95" s="27" t="str">
        <f aca="false">$B$25</f>
        <v>S10</v>
      </c>
      <c r="C95" s="27" t="str">
        <f aca="false">$C$25</f>
        <v>Financial, Professional, Public &amp; Other Services</v>
      </c>
      <c r="D95" s="21" t="s">
        <v>431</v>
      </c>
      <c r="E95" s="21" t="str">
        <f aca="false">B95&amp;"|"&amp;D95</f>
        <v>S10|MR4</v>
      </c>
      <c r="F95" s="28" t="n">
        <f aca="false">INDEX(RatingGrades!$C$6:$C$12,MATCH(D95,RatingGrades!$B$6:$B$12,0))</f>
        <v>0.01</v>
      </c>
      <c r="G95" s="29" t="n">
        <f aca="false">NORMSDIST(NORMSINV($F95)+S$25+W$25)</f>
        <v>0.0105293844198537</v>
      </c>
      <c r="H95" s="29" t="n">
        <f aca="false">NORMSDIST(NORMSINV($F95)+T$25+X$25)</f>
        <v>0.0106374815005913</v>
      </c>
      <c r="I95" s="29" t="n">
        <f aca="false">NORMSDIST(NORMSINV($F95)+U$25+Y$25)</f>
        <v>0.0100244555309334</v>
      </c>
      <c r="J95" s="29" t="n">
        <f aca="false">NORMSDIST(NORMSINV($F95)+V$25+Z$25)</f>
        <v>0.010037605613633</v>
      </c>
      <c r="K95" s="30" t="n">
        <f aca="false">G95/$F95</f>
        <v>1.05293844198537</v>
      </c>
      <c r="L95" s="30" t="n">
        <f aca="false">H95/$F95</f>
        <v>1.06374815005913</v>
      </c>
      <c r="M95" s="30" t="n">
        <f aca="false">I95/$F95</f>
        <v>1.00244555309334</v>
      </c>
      <c r="N95" s="30" t="n">
        <f aca="false">J95/$F95</f>
        <v>1.0037605613633</v>
      </c>
    </row>
    <row r="96" customFormat="false" ht="15" hidden="false" customHeight="true" outlineLevel="0" collapsed="false">
      <c r="B96" s="27" t="str">
        <f aca="false">$B$25</f>
        <v>S10</v>
      </c>
      <c r="C96" s="27" t="str">
        <f aca="false">$C$25</f>
        <v>Financial, Professional, Public &amp; Other Services</v>
      </c>
      <c r="D96" s="21" t="s">
        <v>432</v>
      </c>
      <c r="E96" s="21" t="str">
        <f aca="false">B96&amp;"|"&amp;D96</f>
        <v>S10|MR5</v>
      </c>
      <c r="F96" s="28" t="n">
        <f aca="false">INDEX(RatingGrades!$C$6:$C$12,MATCH(D96,RatingGrades!$B$6:$B$12,0))</f>
        <v>0.02</v>
      </c>
      <c r="G96" s="29" t="n">
        <f aca="false">NORMSDIST(NORMSINV($F96)+S$25+W$25)</f>
        <v>0.0209591565898984</v>
      </c>
      <c r="H96" s="29" t="n">
        <f aca="false">NORMSDIST(NORMSINV($F96)+T$25+X$25)</f>
        <v>0.0211543935976402</v>
      </c>
      <c r="I96" s="29" t="n">
        <f aca="false">NORMSDIST(NORMSINV($F96)+U$25+Y$25)</f>
        <v>0.0200444220670436</v>
      </c>
      <c r="J96" s="29" t="n">
        <f aca="false">NORMSDIST(NORMSINV($F96)+V$25+Z$25)</f>
        <v>0.0200683038517827</v>
      </c>
      <c r="K96" s="30" t="n">
        <f aca="false">G96/$F96</f>
        <v>1.04795782949492</v>
      </c>
      <c r="L96" s="30" t="n">
        <f aca="false">H96/$F96</f>
        <v>1.05771967988201</v>
      </c>
      <c r="M96" s="30" t="n">
        <f aca="false">I96/$F96</f>
        <v>1.00222110335218</v>
      </c>
      <c r="N96" s="30" t="n">
        <f aca="false">J96/$F96</f>
        <v>1.00341519258913</v>
      </c>
    </row>
    <row r="97" customFormat="false" ht="15" hidden="false" customHeight="true" outlineLevel="0" collapsed="false">
      <c r="B97" s="27" t="str">
        <f aca="false">$B$25</f>
        <v>S10</v>
      </c>
      <c r="C97" s="27" t="str">
        <f aca="false">$C$25</f>
        <v>Financial, Professional, Public &amp; Other Services</v>
      </c>
      <c r="D97" s="21" t="s">
        <v>433</v>
      </c>
      <c r="E97" s="21" t="str">
        <f aca="false">B97&amp;"|"&amp;D97</f>
        <v>S10|MR6</v>
      </c>
      <c r="F97" s="28" t="n">
        <f aca="false">INDEX(RatingGrades!$C$6:$C$12,MATCH(D97,RatingGrades!$B$6:$B$12,0))</f>
        <v>0.045</v>
      </c>
      <c r="G97" s="29" t="n">
        <f aca="false">NORMSDIST(NORMSINV($F97)+S$25+W$25)</f>
        <v>0.0468711520426511</v>
      </c>
      <c r="H97" s="29" t="n">
        <f aca="false">NORMSDIST(NORMSINV($F97)+T$25+X$25)</f>
        <v>0.0472504487041152</v>
      </c>
      <c r="I97" s="29" t="n">
        <f aca="false">NORMSDIST(NORMSINV($F97)+U$25+Y$25)</f>
        <v>0.0450869495153823</v>
      </c>
      <c r="J97" s="29" t="n">
        <f aca="false">NORMSDIST(NORMSINV($F97)+V$25+Z$25)</f>
        <v>0.0451336827219663</v>
      </c>
      <c r="K97" s="30" t="n">
        <f aca="false">G97/$F97</f>
        <v>1.04158115650336</v>
      </c>
      <c r="L97" s="30" t="n">
        <f aca="false">H97/$F97</f>
        <v>1.05000997120256</v>
      </c>
      <c r="M97" s="30" t="n">
        <f aca="false">I97/$F97</f>
        <v>1.00193221145294</v>
      </c>
      <c r="N97" s="30" t="n">
        <f aca="false">J97/$F97</f>
        <v>1.00297072715481</v>
      </c>
    </row>
    <row r="98" customFormat="false" ht="15" hidden="false" customHeight="true" outlineLevel="0" collapsed="false">
      <c r="B98" s="27" t="str">
        <f aca="false">$B$25</f>
        <v>S10</v>
      </c>
      <c r="C98" s="27" t="str">
        <f aca="false">$C$25</f>
        <v>Financial, Professional, Public &amp; Other Services</v>
      </c>
      <c r="D98" s="21" t="s">
        <v>434</v>
      </c>
      <c r="E98" s="21" t="str">
        <f aca="false">B98&amp;"|"&amp;D98</f>
        <v>S10|MR7</v>
      </c>
      <c r="F98" s="28" t="n">
        <f aca="false">INDEX(RatingGrades!$C$6:$C$12,MATCH(D98,RatingGrades!$B$6:$B$12,0))</f>
        <v>0.1</v>
      </c>
      <c r="G98" s="29" t="n">
        <f aca="false">NORMSDIST(NORMSINV($F98)+S$25+W$25)</f>
        <v>0.103450490482554</v>
      </c>
      <c r="H98" s="29" t="n">
        <f aca="false">NORMSDIST(NORMSINV($F98)+T$25+X$25)</f>
        <v>0.104146582780338</v>
      </c>
      <c r="I98" s="29" t="n">
        <f aca="false">NORMSDIST(NORMSINV($F98)+U$25+Y$25)</f>
        <v>0.100160957032097</v>
      </c>
      <c r="J98" s="29" t="n">
        <f aca="false">NORMSDIST(NORMSINV($F98)+V$25+Z$25)</f>
        <v>0.100247442231928</v>
      </c>
      <c r="K98" s="30" t="n">
        <f aca="false">G98/$F98</f>
        <v>1.03450490482554</v>
      </c>
      <c r="L98" s="30" t="n">
        <f aca="false">H98/$F98</f>
        <v>1.04146582780338</v>
      </c>
      <c r="M98" s="30" t="n">
        <f aca="false">I98/$F98</f>
        <v>1.00160957032097</v>
      </c>
      <c r="N98" s="30" t="n">
        <f aca="false">J98/$F98</f>
        <v>1.00247442231928</v>
      </c>
    </row>
    <row r="100" customFormat="false" ht="15" hidden="false" customHeight="true" outlineLevel="0" collapsed="false">
      <c r="C100" s="13" t="s">
        <v>435</v>
      </c>
      <c r="G100" s="31" t="n">
        <f aca="false">SUMPRODUCT((G29:G98&lt;$F29:$F98-0.000000001)*1)+SUMPRODUCT((H29:H98&lt;$F29:$F98-0.000000001)*1)+SUMPRODUCT((I29:I98&lt;$F29:$F98-0.000000001)*1)+SUMPRODUCT((J29:J98&lt;$F29:$F98-0.000000001)*1)</f>
        <v>0</v>
      </c>
    </row>
    <row r="101" customFormat="false" ht="15" hidden="false" customHeight="true" outlineLevel="0" collapsed="false">
      <c r="C101" s="13" t="s">
        <v>436</v>
      </c>
      <c r="G101" s="32" t="n">
        <f aca="false">NORMSDIST(NORMSINV(0.02))</f>
        <v>0.02</v>
      </c>
    </row>
    <row r="102" customFormat="false" ht="15" hidden="false" customHeight="true" outlineLevel="0" collapsed="false">
      <c r="C102" s="13" t="s">
        <v>437</v>
      </c>
      <c r="G102" s="31" t="n">
        <f aca="false">SUMPRODUCT((G16:G25&lt;H16:H25-0.000000000001)*1)+SUMPRODUCT((H16:H25&lt;J16:J25-0.000000000001)*1)+SUMPRODUCT((J16:J25&lt;I16:I25-0.000000000001)*1)</f>
        <v>0</v>
      </c>
    </row>
    <row r="103" customFormat="false" ht="15" hidden="false" customHeight="true" outlineLevel="0" collapsed="false">
      <c r="C103" s="13" t="s">
        <v>438</v>
      </c>
      <c r="G103" s="31" t="n">
        <f aca="false">SUMPRODUCT((M16:M25&lt;N16:N25-0.000000000001)*1)+SUMPRODUCT((N16:N25&lt;L16:L25-0.000000000001)*1)+SUMPRODUCT((L16:L25&lt;K16:K25-0.000000000001)*1)</f>
        <v>0</v>
      </c>
    </row>
    <row r="106" customFormat="false" ht="15" hidden="false" customHeight="true" outlineLevel="0" collapsed="false">
      <c r="C106" s="4" t="s">
        <v>439</v>
      </c>
    </row>
    <row r="107" customFormat="false" ht="31.5" hidden="false" customHeight="true" outlineLevel="0" collapsed="false">
      <c r="B107" s="6" t="s">
        <v>372</v>
      </c>
      <c r="C107" s="6" t="s">
        <v>373</v>
      </c>
      <c r="D107" s="6" t="s">
        <v>440</v>
      </c>
      <c r="E107" s="6" t="s">
        <v>441</v>
      </c>
      <c r="F107" s="6" t="s">
        <v>442</v>
      </c>
      <c r="G107" s="6" t="s">
        <v>443</v>
      </c>
      <c r="H107" s="6" t="s">
        <v>444</v>
      </c>
      <c r="I107" s="6" t="s">
        <v>445</v>
      </c>
      <c r="J107" s="6" t="s">
        <v>446</v>
      </c>
    </row>
    <row r="108" customFormat="false" ht="15" hidden="false" customHeight="true" outlineLevel="0" collapsed="false">
      <c r="B108" s="13" t="s">
        <v>397</v>
      </c>
      <c r="C108" s="21" t="s">
        <v>398</v>
      </c>
      <c r="D108" s="30" t="n">
        <f aca="false">K33</f>
        <v>1.21839459525724</v>
      </c>
      <c r="E108" s="30" t="n">
        <f aca="false">L33</f>
        <v>1.13568255745188</v>
      </c>
      <c r="F108" s="30" t="n">
        <f aca="false">M33</f>
        <v>1.02112201367354</v>
      </c>
      <c r="G108" s="30" t="n">
        <f aca="false">N33</f>
        <v>1.03049169375604</v>
      </c>
      <c r="H108" s="33" t="n">
        <f aca="false">$C$5*IF(ABS($C$7)&lt;0.000000000001,LN(1+G16),((1+G16)^$C$7-1)/$C$7)</f>
        <v>0.0700332461713713</v>
      </c>
      <c r="I108" s="33" t="n">
        <f aca="false">S16-H108</f>
        <v>0.00329964162124555</v>
      </c>
      <c r="J108" s="34" t="n">
        <f aca="false">IF(S16=0,0,I108/S16)</f>
        <v>0.0449953863889396</v>
      </c>
    </row>
    <row r="109" customFormat="false" ht="15" hidden="false" customHeight="true" outlineLevel="0" collapsed="false">
      <c r="B109" s="13" t="s">
        <v>399</v>
      </c>
      <c r="C109" s="21" t="s">
        <v>400</v>
      </c>
      <c r="D109" s="30" t="n">
        <f aca="false">K40</f>
        <v>1.39260850584544</v>
      </c>
      <c r="E109" s="30" t="n">
        <f aca="false">L40</f>
        <v>1.20860092756119</v>
      </c>
      <c r="F109" s="30" t="n">
        <f aca="false">M40</f>
        <v>1.01485251618611</v>
      </c>
      <c r="G109" s="30" t="n">
        <f aca="false">N40</f>
        <v>1.03922764833627</v>
      </c>
      <c r="H109" s="33" t="n">
        <f aca="false">$C$5*IF(ABS($C$7)&lt;0.000000000001,LN(1+G17),((1+G17)^$C$7-1)/$C$7)</f>
        <v>0.129845912536933</v>
      </c>
      <c r="I109" s="33" t="n">
        <f aca="false">S17-H109</f>
        <v>0.00104131632479035</v>
      </c>
      <c r="J109" s="34" t="n">
        <f aca="false">IF(S17=0,0,I109/S17)</f>
        <v>0.00795582834052092</v>
      </c>
    </row>
    <row r="110" customFormat="false" ht="15" hidden="false" customHeight="true" outlineLevel="0" collapsed="false">
      <c r="B110" s="13" t="s">
        <v>401</v>
      </c>
      <c r="C110" s="21" t="s">
        <v>402</v>
      </c>
      <c r="D110" s="30" t="n">
        <f aca="false">K47</f>
        <v>1.33849798993737</v>
      </c>
      <c r="E110" s="30" t="n">
        <f aca="false">L47</f>
        <v>1.18609891726161</v>
      </c>
      <c r="F110" s="30" t="n">
        <f aca="false">M47</f>
        <v>1.01878837029723</v>
      </c>
      <c r="G110" s="30" t="n">
        <f aca="false">N47</f>
        <v>1.0377523847886</v>
      </c>
      <c r="H110" s="33" t="n">
        <f aca="false">$C$5*IF(ABS($C$7)&lt;0.000000000001,LN(1+G18),((1+G18)^$C$7-1)/$C$7)</f>
        <v>0.111819178547742</v>
      </c>
      <c r="I110" s="33" t="n">
        <f aca="false">S18-H110</f>
        <v>0.00186925397932551</v>
      </c>
      <c r="J110" s="34" t="n">
        <f aca="false">IF(S18=0,0,I110/S18)</f>
        <v>0.0164419012363502</v>
      </c>
    </row>
    <row r="111" customFormat="false" ht="15" hidden="false" customHeight="true" outlineLevel="0" collapsed="false">
      <c r="B111" s="13" t="s">
        <v>403</v>
      </c>
      <c r="C111" s="21" t="s">
        <v>88</v>
      </c>
      <c r="D111" s="30" t="n">
        <f aca="false">K54</f>
        <v>1.4872600552504</v>
      </c>
      <c r="E111" s="30" t="n">
        <f aca="false">L54</f>
        <v>1.2523135891825</v>
      </c>
      <c r="F111" s="30" t="n">
        <f aca="false">M54</f>
        <v>1.01677625664768</v>
      </c>
      <c r="G111" s="30" t="n">
        <f aca="false">N54</f>
        <v>1.04880489644632</v>
      </c>
      <c r="H111" s="33" t="n">
        <f aca="false">$C$5*IF(ABS($C$7)&lt;0.000000000001,LN(1+G19),((1+G19)^$C$7-1)/$C$7)</f>
        <v>0.158754854894245</v>
      </c>
      <c r="I111" s="33" t="n">
        <f aca="false">S19-H111</f>
        <v>0.000922337518214744</v>
      </c>
      <c r="J111" s="34" t="n">
        <f aca="false">IF(S19=0,0,I111/S19)</f>
        <v>0.00577626337412213</v>
      </c>
    </row>
    <row r="112" customFormat="false" ht="15" hidden="false" customHeight="true" outlineLevel="0" collapsed="false">
      <c r="B112" s="13" t="s">
        <v>404</v>
      </c>
      <c r="C112" s="21" t="s">
        <v>405</v>
      </c>
      <c r="D112" s="30" t="n">
        <f aca="false">K61</f>
        <v>1.57476456980464</v>
      </c>
      <c r="E112" s="30" t="n">
        <f aca="false">L61</f>
        <v>1.29445508700446</v>
      </c>
      <c r="F112" s="30" t="n">
        <f aca="false">M61</f>
        <v>1.02060201590534</v>
      </c>
      <c r="G112" s="30" t="n">
        <f aca="false">N61</f>
        <v>1.05952812757437</v>
      </c>
      <c r="H112" s="33" t="n">
        <f aca="false">$C$5*IF(ABS($C$7)&lt;0.000000000001,LN(1+G20),((1+G20)^$C$7-1)/$C$7)</f>
        <v>0.183919423355982</v>
      </c>
      <c r="I112" s="33" t="n">
        <f aca="false">S20-H112</f>
        <v>0.00105140752419464</v>
      </c>
      <c r="J112" s="34" t="n">
        <f aca="false">IF(S20=0,0,I112/S20)</f>
        <v>0.00568418014446686</v>
      </c>
    </row>
    <row r="113" customFormat="false" ht="15" hidden="false" customHeight="true" outlineLevel="0" collapsed="false">
      <c r="B113" s="13" t="s">
        <v>406</v>
      </c>
      <c r="C113" s="21" t="s">
        <v>407</v>
      </c>
      <c r="D113" s="30" t="n">
        <f aca="false">K68</f>
        <v>1.06702338158682</v>
      </c>
      <c r="E113" s="30" t="n">
        <f aca="false">L68</f>
        <v>1.07052538863888</v>
      </c>
      <c r="F113" s="30" t="n">
        <f aca="false">M68</f>
        <v>1.01468606346427</v>
      </c>
      <c r="G113" s="30" t="n">
        <f aca="false">N68</f>
        <v>1.01431022723478</v>
      </c>
      <c r="H113" s="33" t="n">
        <f aca="false">$C$5*IF(ABS($C$7)&lt;0.000000000001,LN(1+G21),((1+G21)^$C$7-1)/$C$7)</f>
        <v>0.0144076903822634</v>
      </c>
      <c r="I113" s="33" t="n">
        <f aca="false">S21-H113</f>
        <v>0.0030021852325785</v>
      </c>
      <c r="J113" s="34" t="n">
        <f aca="false">IF(S21=0,0,I113/S21)</f>
        <v>0.172441509577423</v>
      </c>
    </row>
    <row r="114" customFormat="false" ht="15" hidden="false" customHeight="true" outlineLevel="0" collapsed="false">
      <c r="B114" s="13" t="s">
        <v>408</v>
      </c>
      <c r="C114" s="21" t="s">
        <v>409</v>
      </c>
      <c r="D114" s="30" t="n">
        <f aca="false">K75</f>
        <v>1.07213728954233</v>
      </c>
      <c r="E114" s="30" t="n">
        <f aca="false">L75</f>
        <v>1.06854223636733</v>
      </c>
      <c r="F114" s="30" t="n">
        <f aca="false">M75</f>
        <v>1.0048756166908</v>
      </c>
      <c r="G114" s="30" t="n">
        <f aca="false">N75</f>
        <v>1.00718430066604</v>
      </c>
      <c r="H114" s="33" t="n">
        <f aca="false">$C$5*IF(ABS($C$7)&lt;0.000000000001,LN(1+G22),((1+G22)^$C$7-1)/$C$7)</f>
        <v>0.0184836156882913</v>
      </c>
      <c r="I114" s="33" t="n">
        <f aca="false">S22-H114</f>
        <v>0.000921680155556038</v>
      </c>
      <c r="J114" s="34" t="n">
        <f aca="false">IF(S22=0,0,I114/S22)</f>
        <v>0.0474963207452602</v>
      </c>
    </row>
    <row r="115" customFormat="false" ht="15" hidden="false" customHeight="true" outlineLevel="0" collapsed="false">
      <c r="B115" s="13" t="s">
        <v>410</v>
      </c>
      <c r="C115" s="21" t="s">
        <v>411</v>
      </c>
      <c r="D115" s="30" t="n">
        <f aca="false">K82</f>
        <v>1.19264078373384</v>
      </c>
      <c r="E115" s="30" t="n">
        <f aca="false">L82</f>
        <v>1.120311687058</v>
      </c>
      <c r="F115" s="30" t="n">
        <f aca="false">M82</f>
        <v>1.01076712641623</v>
      </c>
      <c r="G115" s="30" t="n">
        <f aca="false">N82</f>
        <v>1.02034432538115</v>
      </c>
      <c r="H115" s="33" t="n">
        <f aca="false">$C$5*IF(ABS($C$7)&lt;0.000000000001,LN(1+G23),((1+G23)^$C$7-1)/$C$7)</f>
        <v>0.0628620870936504</v>
      </c>
      <c r="I115" s="33" t="n">
        <f aca="false">S23-H115</f>
        <v>0.00138541637063754</v>
      </c>
      <c r="J115" s="34" t="n">
        <f aca="false">IF(S23=0,0,I115/S23)</f>
        <v>0.021563738603596</v>
      </c>
    </row>
    <row r="116" customFormat="false" ht="15" hidden="false" customHeight="true" outlineLevel="0" collapsed="false">
      <c r="B116" s="13" t="s">
        <v>412</v>
      </c>
      <c r="C116" s="21" t="s">
        <v>413</v>
      </c>
      <c r="D116" s="30" t="n">
        <f aca="false">K89</f>
        <v>1.19149772562277</v>
      </c>
      <c r="E116" s="30" t="n">
        <f aca="false">L89</f>
        <v>1.11929491667671</v>
      </c>
      <c r="F116" s="30" t="n">
        <f aca="false">M89</f>
        <v>1.00921347057128</v>
      </c>
      <c r="G116" s="30" t="n">
        <f aca="false">N89</f>
        <v>1.01914699027546</v>
      </c>
      <c r="H116" s="33" t="n">
        <f aca="false">$C$5*IF(ABS($C$7)&lt;0.000000000001,LN(1+G24),((1+G24)^$C$7-1)/$C$7)</f>
        <v>0.0626675544196935</v>
      </c>
      <c r="I116" s="33" t="n">
        <f aca="false">S24-H116</f>
        <v>0.00117289581569184</v>
      </c>
      <c r="J116" s="34" t="n">
        <f aca="false">IF(S24=0,0,I116/S24)</f>
        <v>0.0183722986189363</v>
      </c>
    </row>
    <row r="117" customFormat="false" ht="15" hidden="false" customHeight="true" outlineLevel="0" collapsed="false">
      <c r="B117" s="13" t="s">
        <v>414</v>
      </c>
      <c r="C117" s="21" t="s">
        <v>415</v>
      </c>
      <c r="D117" s="30" t="n">
        <f aca="false">K96</f>
        <v>1.04795782949492</v>
      </c>
      <c r="E117" s="30" t="n">
        <f aca="false">L96</f>
        <v>1.05771967988201</v>
      </c>
      <c r="F117" s="30" t="n">
        <f aca="false">M96</f>
        <v>1.00222110335218</v>
      </c>
      <c r="G117" s="30" t="n">
        <f aca="false">N96</f>
        <v>1.00341519258913</v>
      </c>
      <c r="H117" s="33" t="n">
        <f aca="false">$C$5*IF(ABS($C$7)&lt;0.000000000001,LN(1+G25),((1+G25)^$C$7-1)/$C$7)</f>
        <v>0.00948427438612535</v>
      </c>
      <c r="I117" s="33" t="n">
        <f aca="false">S25-H117</f>
        <v>0.000414306399575985</v>
      </c>
      <c r="J117" s="34" t="n">
        <f aca="false">IF(S25=0,0,I117/S25)</f>
        <v>0.0418551314118138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L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40"/>
    <col collapsed="false" customWidth="true" hidden="false" outlineLevel="0" max="4" min="4" style="1" width="26"/>
    <col collapsed="false" customWidth="true" hidden="false" outlineLevel="0" max="6" min="5" style="1" width="14"/>
    <col collapsed="false" customWidth="true" hidden="false" outlineLevel="0" max="7" min="7" style="1" width="11"/>
    <col collapsed="false" customWidth="true" hidden="false" outlineLevel="0" max="8" min="8" style="1" width="15"/>
    <col collapsed="false" customWidth="true" hidden="false" outlineLevel="0" max="10" min="9" style="1" width="11"/>
    <col collapsed="false" customWidth="true" hidden="false" outlineLevel="0" max="11" min="11" style="1" width="78"/>
  </cols>
  <sheetData>
    <row r="1" customFormat="false" ht="21.75" hidden="false" customHeight="true" outlineLevel="0" collapsed="false">
      <c r="B1" s="2" t="s">
        <v>447</v>
      </c>
      <c r="C1" s="3"/>
      <c r="D1" s="3"/>
      <c r="E1" s="3"/>
      <c r="F1" s="3"/>
      <c r="G1" s="3"/>
      <c r="H1" s="3"/>
      <c r="I1" s="3"/>
      <c r="J1" s="3"/>
      <c r="K1" s="3"/>
      <c r="L1" s="3"/>
    </row>
    <row r="2" customFormat="false" ht="711" hidden="false" customHeight="true" outlineLevel="0" collapsed="false">
      <c r="B2" s="9" t="s">
        <v>448</v>
      </c>
    </row>
    <row r="4" customFormat="false" ht="53.25" hidden="false" customHeight="true" outlineLevel="0" collapsed="false">
      <c r="B4" s="13" t="s">
        <v>449</v>
      </c>
      <c r="C4" s="35" t="s">
        <v>450</v>
      </c>
      <c r="E4" s="9" t="s">
        <v>451</v>
      </c>
    </row>
    <row r="5" customFormat="false" ht="15" hidden="false" customHeight="true" outlineLevel="0" collapsed="false">
      <c r="B5" s="13" t="s">
        <v>452</v>
      </c>
      <c r="C5" s="33" t="n">
        <v>2.6008</v>
      </c>
    </row>
    <row r="7" customFormat="false" ht="31.5" hidden="false" customHeight="true" outlineLevel="0" collapsed="false">
      <c r="B7" s="6" t="s">
        <v>372</v>
      </c>
      <c r="C7" s="6" t="s">
        <v>373</v>
      </c>
      <c r="D7" s="6" t="s">
        <v>453</v>
      </c>
      <c r="E7" s="6" t="s">
        <v>454</v>
      </c>
      <c r="F7" s="6" t="s">
        <v>455</v>
      </c>
      <c r="G7" s="6" t="s">
        <v>456</v>
      </c>
      <c r="H7" s="6" t="s">
        <v>457</v>
      </c>
      <c r="I7" s="6" t="s">
        <v>375</v>
      </c>
      <c r="J7" s="6" t="s">
        <v>376</v>
      </c>
      <c r="K7" s="6" t="s">
        <v>458</v>
      </c>
    </row>
    <row r="8" customFormat="false" ht="25.5" hidden="false" customHeight="true" outlineLevel="0" collapsed="false">
      <c r="B8" s="13" t="s">
        <v>397</v>
      </c>
      <c r="C8" s="21" t="s">
        <v>398</v>
      </c>
      <c r="D8" s="36" t="s">
        <v>459</v>
      </c>
      <c r="E8" s="37" t="n">
        <v>996.814843</v>
      </c>
      <c r="F8" s="37" t="n">
        <f aca="false">E8*$C$5</f>
        <v>2592.5160436744</v>
      </c>
      <c r="G8" s="38" t="n">
        <v>1</v>
      </c>
      <c r="H8" s="37" t="n">
        <f aca="false">IF($C$4="TURNOVER",F8*G8,F8)</f>
        <v>2592.5160436744</v>
      </c>
      <c r="I8" s="39" t="n">
        <v>0.25</v>
      </c>
      <c r="J8" s="40" t="n">
        <v>1</v>
      </c>
      <c r="K8" s="15" t="s">
        <v>460</v>
      </c>
    </row>
    <row r="9" customFormat="false" ht="25.5" hidden="false" customHeight="true" outlineLevel="0" collapsed="false">
      <c r="B9" s="13" t="s">
        <v>399</v>
      </c>
      <c r="C9" s="21" t="s">
        <v>400</v>
      </c>
      <c r="D9" s="36" t="s">
        <v>461</v>
      </c>
      <c r="E9" s="37" t="n">
        <v>14750.293609</v>
      </c>
      <c r="F9" s="37" t="n">
        <f aca="false">E9*$C$5</f>
        <v>38362.5636182872</v>
      </c>
      <c r="G9" s="38" t="n">
        <v>1</v>
      </c>
      <c r="H9" s="37" t="n">
        <f aca="false">IF($C$4="TURNOVER",F9*G9,F9)</f>
        <v>38362.5636182872</v>
      </c>
      <c r="I9" s="39" t="n">
        <v>0.05</v>
      </c>
      <c r="J9" s="40" t="n">
        <v>1</v>
      </c>
      <c r="K9" s="15" t="s">
        <v>462</v>
      </c>
    </row>
    <row r="10" customFormat="false" ht="25.5" hidden="false" customHeight="true" outlineLevel="0" collapsed="false">
      <c r="B10" s="13" t="s">
        <v>401</v>
      </c>
      <c r="C10" s="21" t="s">
        <v>402</v>
      </c>
      <c r="D10" s="36" t="s">
        <v>463</v>
      </c>
      <c r="E10" s="37" t="n">
        <v>205.8</v>
      </c>
      <c r="F10" s="37" t="n">
        <f aca="false">E10*$C$5</f>
        <v>535.24464</v>
      </c>
      <c r="G10" s="38" t="n">
        <v>1</v>
      </c>
      <c r="H10" s="37" t="n">
        <f aca="false">IF($C$4="TURNOVER",F10*G10,F10)</f>
        <v>535.24464</v>
      </c>
      <c r="I10" s="39" t="n">
        <v>0.3</v>
      </c>
      <c r="J10" s="40" t="n">
        <v>1</v>
      </c>
      <c r="K10" s="15" t="s">
        <v>464</v>
      </c>
    </row>
    <row r="11" customFormat="false" ht="39" hidden="false" customHeight="true" outlineLevel="0" collapsed="false">
      <c r="B11" s="13" t="s">
        <v>403</v>
      </c>
      <c r="C11" s="21" t="s">
        <v>88</v>
      </c>
      <c r="D11" s="36" t="s">
        <v>465</v>
      </c>
      <c r="E11" s="37" t="n">
        <v>3819.751676</v>
      </c>
      <c r="F11" s="37" t="n">
        <f aca="false">E11*$C$5</f>
        <v>9934.4101589408</v>
      </c>
      <c r="G11" s="38" t="n">
        <v>1</v>
      </c>
      <c r="H11" s="37" t="n">
        <f aca="false">IF($C$4="TURNOVER",F11*G11,F11)</f>
        <v>9934.4101589408</v>
      </c>
      <c r="I11" s="39" t="n">
        <v>0.3</v>
      </c>
      <c r="J11" s="40" t="n">
        <v>1</v>
      </c>
      <c r="K11" s="15" t="s">
        <v>466</v>
      </c>
    </row>
    <row r="12" customFormat="false" ht="51.75" hidden="false" customHeight="true" outlineLevel="0" collapsed="false">
      <c r="B12" s="13" t="s">
        <v>404</v>
      </c>
      <c r="C12" s="21" t="s">
        <v>405</v>
      </c>
      <c r="D12" s="36" t="s">
        <v>467</v>
      </c>
      <c r="E12" s="37" t="n">
        <v>970.07565</v>
      </c>
      <c r="F12" s="37" t="n">
        <f aca="false">E12*$C$5</f>
        <v>2522.97275052</v>
      </c>
      <c r="G12" s="38" t="n">
        <v>1</v>
      </c>
      <c r="H12" s="37" t="n">
        <f aca="false">IF($C$4="TURNOVER",F12*G12,F12)</f>
        <v>2522.97275052</v>
      </c>
      <c r="I12" s="39" t="n">
        <v>0.8</v>
      </c>
      <c r="J12" s="40" t="n">
        <v>1</v>
      </c>
      <c r="K12" s="15" t="s">
        <v>468</v>
      </c>
    </row>
    <row r="13" customFormat="false" ht="25.5" hidden="false" customHeight="true" outlineLevel="0" collapsed="false">
      <c r="B13" s="13" t="s">
        <v>406</v>
      </c>
      <c r="C13" s="21" t="s">
        <v>407</v>
      </c>
      <c r="D13" s="36" t="s">
        <v>469</v>
      </c>
      <c r="E13" s="37" t="n">
        <v>2766.34407</v>
      </c>
      <c r="F13" s="37" t="n">
        <f aca="false">E13*$C$5</f>
        <v>7194.707657256</v>
      </c>
      <c r="G13" s="38" t="n">
        <v>1</v>
      </c>
      <c r="H13" s="37" t="n">
        <f aca="false">IF($C$4="TURNOVER",F13*G13,F13)</f>
        <v>7194.707657256</v>
      </c>
      <c r="I13" s="39" t="n">
        <v>0.5</v>
      </c>
      <c r="J13" s="40" t="n">
        <v>1</v>
      </c>
      <c r="K13" s="15" t="s">
        <v>470</v>
      </c>
    </row>
    <row r="14" customFormat="false" ht="25.5" hidden="false" customHeight="true" outlineLevel="0" collapsed="false">
      <c r="B14" s="13" t="s">
        <v>408</v>
      </c>
      <c r="C14" s="21" t="s">
        <v>409</v>
      </c>
      <c r="D14" s="36" t="s">
        <v>471</v>
      </c>
      <c r="E14" s="37" t="n">
        <v>3165.689408</v>
      </c>
      <c r="F14" s="37" t="n">
        <f aca="false">E14*$C$5</f>
        <v>8233.3250123264</v>
      </c>
      <c r="G14" s="38" t="n">
        <v>1</v>
      </c>
      <c r="H14" s="37" t="n">
        <f aca="false">IF($C$4="TURNOVER",F14*G14,F14)</f>
        <v>8233.3250123264</v>
      </c>
      <c r="I14" s="39" t="n">
        <v>0.7</v>
      </c>
      <c r="J14" s="40" t="n">
        <v>1</v>
      </c>
      <c r="K14" s="15" t="s">
        <v>472</v>
      </c>
    </row>
    <row r="15" customFormat="false" ht="39" hidden="false" customHeight="true" outlineLevel="0" collapsed="false">
      <c r="B15" s="13" t="s">
        <v>410</v>
      </c>
      <c r="C15" s="21" t="s">
        <v>411</v>
      </c>
      <c r="D15" s="36" t="s">
        <v>473</v>
      </c>
      <c r="E15" s="37" t="n">
        <v>1680.825971</v>
      </c>
      <c r="F15" s="37" t="n">
        <f aca="false">E15*$C$5</f>
        <v>4371.4921853768</v>
      </c>
      <c r="G15" s="38" t="n">
        <v>1</v>
      </c>
      <c r="H15" s="37" t="n">
        <f aca="false">IF($C$4="TURNOVER",F15*G15,F15)</f>
        <v>4371.4921853768</v>
      </c>
      <c r="I15" s="39" t="n">
        <v>0.6</v>
      </c>
      <c r="J15" s="40" t="n">
        <v>1</v>
      </c>
      <c r="K15" s="15" t="s">
        <v>474</v>
      </c>
    </row>
    <row r="16" customFormat="false" ht="25.5" hidden="false" customHeight="true" outlineLevel="0" collapsed="false">
      <c r="B16" s="13" t="s">
        <v>412</v>
      </c>
      <c r="C16" s="21" t="s">
        <v>413</v>
      </c>
      <c r="D16" s="36" t="s">
        <v>475</v>
      </c>
      <c r="E16" s="37" t="n">
        <v>585.411617</v>
      </c>
      <c r="F16" s="37" t="n">
        <f aca="false">E16*$C$5</f>
        <v>1522.5385334936</v>
      </c>
      <c r="G16" s="38" t="n">
        <v>1</v>
      </c>
      <c r="H16" s="37" t="n">
        <f aca="false">IF($C$4="TURNOVER",F16*G16,F16)</f>
        <v>1522.5385334936</v>
      </c>
      <c r="I16" s="39" t="n">
        <v>0.35</v>
      </c>
      <c r="J16" s="40" t="n">
        <v>1</v>
      </c>
      <c r="K16" s="15" t="s">
        <v>476</v>
      </c>
    </row>
    <row r="17" customFormat="false" ht="25.5" hidden="false" customHeight="true" outlineLevel="0" collapsed="false">
      <c r="B17" s="13" t="s">
        <v>414</v>
      </c>
      <c r="C17" s="21" t="s">
        <v>415</v>
      </c>
      <c r="D17" s="36" t="s">
        <v>477</v>
      </c>
      <c r="E17" s="37" t="n">
        <v>13022.900447</v>
      </c>
      <c r="F17" s="37" t="n">
        <f aca="false">E17*$C$5</f>
        <v>33869.9594825576</v>
      </c>
      <c r="G17" s="38" t="n">
        <v>1</v>
      </c>
      <c r="H17" s="37" t="n">
        <f aca="false">IF($C$4="TURNOVER",F17*G17,F17)</f>
        <v>33869.9594825576</v>
      </c>
      <c r="I17" s="39" t="n">
        <v>0.6</v>
      </c>
      <c r="J17" s="40" t="n">
        <v>1</v>
      </c>
      <c r="K17" s="15" t="s">
        <v>478</v>
      </c>
    </row>
    <row r="18" customFormat="false" ht="15" hidden="false" customHeight="true" outlineLevel="0" collapsed="false">
      <c r="C18" s="13" t="s">
        <v>479</v>
      </c>
      <c r="E18" s="41" t="n">
        <f aca="false">SUM(E8:E17)</f>
        <v>41963.907291</v>
      </c>
    </row>
    <row r="19" customFormat="false" ht="15" hidden="false" customHeight="true" outlineLevel="0" collapsed="false">
      <c r="C19" s="21" t="s">
        <v>480</v>
      </c>
      <c r="E19" s="37" t="n">
        <v>41963.907406</v>
      </c>
    </row>
    <row r="20" customFormat="false" ht="15" hidden="false" customHeight="true" outlineLevel="0" collapsed="false">
      <c r="C20" s="13" t="s">
        <v>481</v>
      </c>
      <c r="E20" s="13" t="str">
        <f aca="false">IF(ABS(E18-E19)&lt;0.01,"PASS","FAIL")</f>
        <v>PASS</v>
      </c>
    </row>
    <row r="22" customFormat="false" ht="1483.5" hidden="false" customHeight="true" outlineLevel="0" collapsed="false">
      <c r="B22" s="9" t="s">
        <v>482</v>
      </c>
    </row>
    <row r="26" customFormat="false" ht="606" hidden="false" customHeight="true" outlineLevel="0" collapsed="false">
      <c r="B26" s="9" t="s">
        <v>483</v>
      </c>
    </row>
    <row r="29" customFormat="false" ht="210" hidden="false" customHeight="true" outlineLevel="0" collapsed="false">
      <c r="B29" s="9" t="s">
        <v>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R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40"/>
    <col collapsed="false" customWidth="true" hidden="false" outlineLevel="0" max="4" min="4" style="1" width="12"/>
    <col collapsed="false" customWidth="true" hidden="false" outlineLevel="0" max="5" min="5" style="1" width="38"/>
    <col collapsed="false" customWidth="true" hidden="false" outlineLevel="0" max="15" min="6" style="1" width="7.5"/>
    <col collapsed="false" customWidth="true" hidden="false" outlineLevel="0" max="16" min="16" style="1" width="8"/>
    <col collapsed="false" customWidth="true" hidden="false" outlineLevel="0" max="17" min="17" style="1" width="9"/>
    <col collapsed="false" customWidth="true" hidden="false" outlineLevel="0" max="18" min="18" style="1" width="8"/>
  </cols>
  <sheetData>
    <row r="1" customFormat="false" ht="21.75" hidden="false" customHeight="true" outlineLevel="0" collapsed="false">
      <c r="B1" s="2" t="s">
        <v>485</v>
      </c>
      <c r="C1" s="3"/>
      <c r="D1" s="3"/>
      <c r="E1" s="3"/>
      <c r="F1" s="3"/>
      <c r="G1" s="3"/>
      <c r="H1" s="3"/>
      <c r="I1" s="3"/>
      <c r="J1" s="3"/>
      <c r="K1" s="3"/>
      <c r="L1" s="3"/>
      <c r="M1" s="3"/>
      <c r="N1" s="3"/>
      <c r="O1" s="3"/>
      <c r="P1" s="3"/>
      <c r="Q1" s="3"/>
      <c r="R1" s="3"/>
    </row>
    <row r="2" customFormat="false" ht="408" hidden="false" customHeight="true" outlineLevel="0" collapsed="false">
      <c r="B2" s="9" t="s">
        <v>486</v>
      </c>
    </row>
    <row r="5" customFormat="false" ht="31.5" hidden="false" customHeight="true" outlineLevel="0" collapsed="false">
      <c r="B5" s="6" t="s">
        <v>487</v>
      </c>
      <c r="C5" s="6" t="s">
        <v>488</v>
      </c>
      <c r="D5" s="6" t="s">
        <v>489</v>
      </c>
      <c r="E5" s="6" t="s">
        <v>490</v>
      </c>
      <c r="F5" s="6" t="s">
        <v>397</v>
      </c>
      <c r="G5" s="6" t="s">
        <v>399</v>
      </c>
      <c r="H5" s="6" t="s">
        <v>401</v>
      </c>
      <c r="I5" s="6" t="s">
        <v>403</v>
      </c>
      <c r="J5" s="6" t="s">
        <v>404</v>
      </c>
      <c r="K5" s="6" t="s">
        <v>406</v>
      </c>
      <c r="L5" s="6" t="s">
        <v>408</v>
      </c>
      <c r="M5" s="6" t="s">
        <v>410</v>
      </c>
      <c r="N5" s="6" t="s">
        <v>412</v>
      </c>
      <c r="O5" s="6" t="s">
        <v>414</v>
      </c>
      <c r="P5" s="6" t="s">
        <v>491</v>
      </c>
      <c r="Q5" s="6" t="s">
        <v>492</v>
      </c>
      <c r="R5" s="6" t="s">
        <v>304</v>
      </c>
    </row>
    <row r="6" customFormat="false" ht="24" hidden="false" customHeight="true" outlineLevel="0" collapsed="false">
      <c r="B6" s="13" t="s">
        <v>493</v>
      </c>
      <c r="C6" s="21" t="s">
        <v>494</v>
      </c>
      <c r="D6" s="42" t="n">
        <v>42.24</v>
      </c>
      <c r="E6" s="15" t="s">
        <v>495</v>
      </c>
      <c r="F6" s="43" t="n">
        <v>0</v>
      </c>
      <c r="G6" s="38" t="n">
        <v>1</v>
      </c>
      <c r="H6" s="43" t="n">
        <v>0</v>
      </c>
      <c r="I6" s="43" t="n">
        <v>0</v>
      </c>
      <c r="J6" s="43" t="n">
        <v>0</v>
      </c>
      <c r="K6" s="43" t="n">
        <v>0</v>
      </c>
      <c r="L6" s="43" t="n">
        <v>0</v>
      </c>
      <c r="M6" s="43" t="n">
        <v>0</v>
      </c>
      <c r="N6" s="43" t="n">
        <v>0</v>
      </c>
      <c r="O6" s="43" t="n">
        <v>0</v>
      </c>
      <c r="P6" s="43" t="n">
        <v>0</v>
      </c>
      <c r="Q6" s="43" t="n">
        <f aca="false">SUM(F6:P6)</f>
        <v>1</v>
      </c>
      <c r="R6" s="21" t="str">
        <f aca="false">IF(ABS(Q6-1)&lt;0.000001,"OK","FAIL")</f>
        <v>OK</v>
      </c>
    </row>
    <row r="7" customFormat="false" ht="24" hidden="false" customHeight="true" outlineLevel="0" collapsed="false">
      <c r="B7" s="13" t="s">
        <v>496</v>
      </c>
      <c r="C7" s="21" t="s">
        <v>497</v>
      </c>
      <c r="D7" s="42" t="n">
        <v>17.15</v>
      </c>
      <c r="E7" s="15" t="s">
        <v>498</v>
      </c>
      <c r="F7" s="43" t="n">
        <v>0</v>
      </c>
      <c r="G7" s="43" t="n">
        <v>0</v>
      </c>
      <c r="H7" s="43" t="n">
        <v>0</v>
      </c>
      <c r="I7" s="43" t="n">
        <v>0</v>
      </c>
      <c r="J7" s="38" t="n">
        <v>1</v>
      </c>
      <c r="K7" s="43" t="n">
        <v>0</v>
      </c>
      <c r="L7" s="43" t="n">
        <v>0</v>
      </c>
      <c r="M7" s="43" t="n">
        <v>0</v>
      </c>
      <c r="N7" s="43" t="n">
        <v>0</v>
      </c>
      <c r="O7" s="43" t="n">
        <v>0</v>
      </c>
      <c r="P7" s="43" t="n">
        <v>0</v>
      </c>
      <c r="Q7" s="43" t="n">
        <f aca="false">SUM(F7:P7)</f>
        <v>1</v>
      </c>
      <c r="R7" s="21" t="str">
        <f aca="false">IF(ABS(Q7-1)&lt;0.000001,"OK","FAIL")</f>
        <v>OK</v>
      </c>
    </row>
    <row r="8" customFormat="false" ht="24" hidden="false" customHeight="true" outlineLevel="0" collapsed="false">
      <c r="B8" s="13" t="s">
        <v>499</v>
      </c>
      <c r="C8" s="21" t="s">
        <v>500</v>
      </c>
      <c r="D8" s="42" t="n">
        <v>14.29</v>
      </c>
      <c r="E8" s="15" t="s">
        <v>501</v>
      </c>
      <c r="F8" s="43" t="n">
        <v>0</v>
      </c>
      <c r="G8" s="43" t="n">
        <v>0</v>
      </c>
      <c r="H8" s="38" t="n">
        <v>0.05</v>
      </c>
      <c r="I8" s="38" t="n">
        <v>0.85</v>
      </c>
      <c r="J8" s="43" t="n">
        <v>0</v>
      </c>
      <c r="K8" s="38" t="n">
        <v>0.1</v>
      </c>
      <c r="L8" s="43" t="n">
        <v>0</v>
      </c>
      <c r="M8" s="43" t="n">
        <v>0</v>
      </c>
      <c r="N8" s="43" t="n">
        <v>0</v>
      </c>
      <c r="O8" s="43" t="n">
        <v>0</v>
      </c>
      <c r="P8" s="43" t="n">
        <v>0</v>
      </c>
      <c r="Q8" s="43" t="n">
        <f aca="false">SUM(F8:P8)</f>
        <v>1</v>
      </c>
      <c r="R8" s="21" t="str">
        <f aca="false">IF(ABS(Q8-1)&lt;0.000001,"OK","FAIL")</f>
        <v>OK</v>
      </c>
    </row>
    <row r="9" customFormat="false" ht="36" hidden="false" customHeight="true" outlineLevel="0" collapsed="false">
      <c r="B9" s="13" t="s">
        <v>502</v>
      </c>
      <c r="C9" s="21" t="s">
        <v>503</v>
      </c>
      <c r="D9" s="42" t="n">
        <v>13.01</v>
      </c>
      <c r="E9" s="15" t="s">
        <v>504</v>
      </c>
      <c r="F9" s="43" t="n">
        <v>0</v>
      </c>
      <c r="G9" s="43" t="n">
        <v>0</v>
      </c>
      <c r="H9" s="43" t="n">
        <v>0</v>
      </c>
      <c r="I9" s="43" t="n">
        <v>0</v>
      </c>
      <c r="J9" s="43" t="n">
        <v>0</v>
      </c>
      <c r="K9" s="43" t="n">
        <v>0</v>
      </c>
      <c r="L9" s="38" t="n">
        <v>0.1</v>
      </c>
      <c r="M9" s="38" t="n">
        <v>0.4</v>
      </c>
      <c r="N9" s="43" t="n">
        <v>0</v>
      </c>
      <c r="O9" s="43" t="n">
        <v>0</v>
      </c>
      <c r="P9" s="38" t="n">
        <v>0.5</v>
      </c>
      <c r="Q9" s="43" t="n">
        <f aca="false">SUM(F9:P9)</f>
        <v>1</v>
      </c>
      <c r="R9" s="21" t="str">
        <f aca="false">IF(ABS(Q9-1)&lt;0.000001,"OK","FAIL")</f>
        <v>OK</v>
      </c>
    </row>
    <row r="10" customFormat="false" ht="24" hidden="false" customHeight="true" outlineLevel="0" collapsed="false">
      <c r="B10" s="13" t="s">
        <v>505</v>
      </c>
      <c r="C10" s="21" t="s">
        <v>506</v>
      </c>
      <c r="D10" s="42" t="n">
        <v>1.86</v>
      </c>
      <c r="E10" s="15" t="s">
        <v>507</v>
      </c>
      <c r="F10" s="38" t="n">
        <v>1</v>
      </c>
      <c r="G10" s="43" t="n">
        <v>0</v>
      </c>
      <c r="H10" s="43" t="n">
        <v>0</v>
      </c>
      <c r="I10" s="43" t="n">
        <v>0</v>
      </c>
      <c r="J10" s="43" t="n">
        <v>0</v>
      </c>
      <c r="K10" s="43" t="n">
        <v>0</v>
      </c>
      <c r="L10" s="43" t="n">
        <v>0</v>
      </c>
      <c r="M10" s="43" t="n">
        <v>0</v>
      </c>
      <c r="N10" s="43" t="n">
        <v>0</v>
      </c>
      <c r="O10" s="43" t="n">
        <v>0</v>
      </c>
      <c r="P10" s="43" t="n">
        <v>0</v>
      </c>
      <c r="Q10" s="43" t="n">
        <f aca="false">SUM(F10:P10)</f>
        <v>1</v>
      </c>
      <c r="R10" s="21" t="str">
        <f aca="false">IF(ABS(Q10-1)&lt;0.000001,"OK","FAIL")</f>
        <v>OK</v>
      </c>
    </row>
    <row r="11" customFormat="false" ht="36" hidden="false" customHeight="true" outlineLevel="0" collapsed="false">
      <c r="B11" s="13" t="s">
        <v>508</v>
      </c>
      <c r="C11" s="21" t="s">
        <v>509</v>
      </c>
      <c r="D11" s="42" t="n">
        <v>22.23</v>
      </c>
      <c r="E11" s="15" t="s">
        <v>510</v>
      </c>
      <c r="F11" s="43" t="n">
        <v>0</v>
      </c>
      <c r="G11" s="43" t="n">
        <v>0</v>
      </c>
      <c r="H11" s="43" t="n">
        <v>0</v>
      </c>
      <c r="I11" s="43" t="n">
        <v>0</v>
      </c>
      <c r="J11" s="43" t="n">
        <v>0</v>
      </c>
      <c r="K11" s="43" t="n">
        <v>0</v>
      </c>
      <c r="L11" s="38" t="n">
        <v>0.1</v>
      </c>
      <c r="M11" s="43" t="n">
        <v>0</v>
      </c>
      <c r="N11" s="38" t="n">
        <v>0.05</v>
      </c>
      <c r="O11" s="38" t="n">
        <v>0.15</v>
      </c>
      <c r="P11" s="38" t="n">
        <v>0.7</v>
      </c>
      <c r="Q11" s="43" t="n">
        <f aca="false">SUM(F11:P11)</f>
        <v>1</v>
      </c>
      <c r="R11" s="21" t="str">
        <f aca="false">IF(ABS(Q11-1)&lt;0.000001,"OK","FAIL")</f>
        <v>OK</v>
      </c>
    </row>
    <row r="12" customFormat="false" ht="24" hidden="false" customHeight="true" outlineLevel="0" collapsed="false">
      <c r="B12" s="13" t="s">
        <v>511</v>
      </c>
      <c r="C12" s="21" t="s">
        <v>512</v>
      </c>
      <c r="D12" s="44" t="n">
        <f aca="false">$D$14-SUM(D6:D11)</f>
        <v>21.49</v>
      </c>
      <c r="E12" s="15" t="s">
        <v>513</v>
      </c>
      <c r="F12" s="43" t="n">
        <v>0</v>
      </c>
      <c r="G12" s="38" t="n">
        <v>0.15</v>
      </c>
      <c r="H12" s="43" t="n">
        <v>0</v>
      </c>
      <c r="I12" s="38" t="n">
        <v>0.4</v>
      </c>
      <c r="J12" s="38" t="n">
        <v>0.25</v>
      </c>
      <c r="K12" s="43" t="n">
        <v>0</v>
      </c>
      <c r="L12" s="43" t="n">
        <v>0</v>
      </c>
      <c r="M12" s="43" t="n">
        <v>0</v>
      </c>
      <c r="N12" s="43" t="n">
        <v>0</v>
      </c>
      <c r="O12" s="38" t="n">
        <v>0.1</v>
      </c>
      <c r="P12" s="38" t="n">
        <v>0.1</v>
      </c>
      <c r="Q12" s="43" t="n">
        <f aca="false">SUM(F12:P12)</f>
        <v>1</v>
      </c>
      <c r="R12" s="21" t="str">
        <f aca="false">IF(ABS(Q12-1)&lt;0.000001,"OK","FAIL")</f>
        <v>OK</v>
      </c>
    </row>
    <row r="13" customFormat="false" ht="15" hidden="false" customHeight="true" outlineLevel="0" collapsed="false">
      <c r="C13" s="13" t="s">
        <v>514</v>
      </c>
      <c r="D13" s="41" t="n">
        <f aca="false">SUM(D6:D12)</f>
        <v>132.27</v>
      </c>
    </row>
    <row r="14" customFormat="false" ht="15" hidden="false" customHeight="true" outlineLevel="0" collapsed="false">
      <c r="C14" s="13" t="s">
        <v>515</v>
      </c>
      <c r="D14" s="42" t="n">
        <v>132.27</v>
      </c>
    </row>
    <row r="15" customFormat="false" ht="15" hidden="false" customHeight="true" outlineLevel="0" collapsed="false">
      <c r="C15" s="13" t="s">
        <v>481</v>
      </c>
      <c r="D15" s="13" t="str">
        <f aca="false">IF(ABS(D13-D14)&lt;0.001,"PASS","FAIL")</f>
        <v>PASS</v>
      </c>
    </row>
    <row r="16" customFormat="false" ht="15" hidden="false" customHeight="true" outlineLevel="0" collapsed="false">
      <c r="C16" s="4" t="s">
        <v>516</v>
      </c>
    </row>
    <row r="17" customFormat="false" ht="15" hidden="false" customHeight="true" outlineLevel="0" collapsed="false">
      <c r="C17" s="13" t="s">
        <v>517</v>
      </c>
      <c r="F17" s="37" t="n">
        <f aca="false">SUMPRODUCT($D$6:$D$12,F6:F12)</f>
        <v>1.86</v>
      </c>
      <c r="G17" s="37" t="n">
        <f aca="false">SUMPRODUCT($D$6:$D$12,G6:G12)</f>
        <v>45.4635</v>
      </c>
      <c r="H17" s="37" t="n">
        <f aca="false">SUMPRODUCT($D$6:$D$12,H6:H12)</f>
        <v>0.7145</v>
      </c>
      <c r="I17" s="37" t="n">
        <f aca="false">SUMPRODUCT($D$6:$D$12,I6:I12)</f>
        <v>20.7425</v>
      </c>
      <c r="J17" s="37" t="n">
        <f aca="false">SUMPRODUCT($D$6:$D$12,J6:J12)</f>
        <v>22.5225</v>
      </c>
      <c r="K17" s="37" t="n">
        <f aca="false">SUMPRODUCT($D$6:$D$12,K6:K12)</f>
        <v>1.429</v>
      </c>
      <c r="L17" s="37" t="n">
        <f aca="false">SUMPRODUCT($D$6:$D$12,L6:L12)</f>
        <v>3.524</v>
      </c>
      <c r="M17" s="37" t="n">
        <f aca="false">SUMPRODUCT($D$6:$D$12,M6:M12)</f>
        <v>5.204</v>
      </c>
      <c r="N17" s="37" t="n">
        <f aca="false">SUMPRODUCT($D$6:$D$12,N6:N12)</f>
        <v>1.1115</v>
      </c>
      <c r="O17" s="37" t="n">
        <f aca="false">SUMPRODUCT($D$6:$D$12,O6:O12)</f>
        <v>5.4835</v>
      </c>
      <c r="P17" s="37" t="n">
        <f aca="false">SUMPRODUCT($D$6:$D$12,P6:P12)</f>
        <v>24.215</v>
      </c>
      <c r="Q17" s="41" t="n">
        <f aca="false">SUM(F17:P17)</f>
        <v>132.27</v>
      </c>
      <c r="R17" s="21" t="str">
        <f aca="false">IF(ABS(Q17-D14)&lt;0.001,"OK","FAIL")</f>
        <v>OK</v>
      </c>
    </row>
    <row r="18" customFormat="false" ht="15" hidden="false" customHeight="true" outlineLevel="0" collapsed="false">
      <c r="C18" s="13" t="s">
        <v>416</v>
      </c>
      <c r="F18" s="13" t="s">
        <v>397</v>
      </c>
      <c r="G18" s="13" t="s">
        <v>399</v>
      </c>
      <c r="H18" s="13" t="s">
        <v>401</v>
      </c>
      <c r="I18" s="13" t="s">
        <v>403</v>
      </c>
      <c r="J18" s="13" t="s">
        <v>404</v>
      </c>
      <c r="K18" s="13" t="s">
        <v>406</v>
      </c>
      <c r="L18" s="13" t="s">
        <v>408</v>
      </c>
      <c r="M18" s="13" t="s">
        <v>410</v>
      </c>
      <c r="N18" s="13" t="s">
        <v>412</v>
      </c>
      <c r="O18" s="13" t="s">
        <v>414</v>
      </c>
      <c r="P18" s="13" t="s">
        <v>491</v>
      </c>
    </row>
    <row r="20" customFormat="false" ht="15" hidden="false" customHeight="true" outlineLevel="0" collapsed="false">
      <c r="C20" s="4" t="s">
        <v>518</v>
      </c>
    </row>
    <row r="21" customFormat="false" ht="15" hidden="false" customHeight="true" outlineLevel="0" collapsed="false">
      <c r="C21" s="21" t="s">
        <v>519</v>
      </c>
      <c r="D21" s="45" t="n">
        <v>5.3</v>
      </c>
    </row>
    <row r="22" customFormat="false" ht="21.75" hidden="false" customHeight="true" outlineLevel="0" collapsed="false">
      <c r="C22" s="21" t="s">
        <v>520</v>
      </c>
      <c r="D22" s="37" t="n">
        <f aca="false">D14/D21</f>
        <v>24.9566037735849</v>
      </c>
      <c r="E22" s="9" t="s">
        <v>521</v>
      </c>
    </row>
    <row r="23" customFormat="false" ht="15" hidden="false" customHeight="true" outlineLevel="0" collapsed="false">
      <c r="C23" s="21" t="s">
        <v>522</v>
      </c>
      <c r="D23" s="37" t="n">
        <f aca="false">D11/D21</f>
        <v>4.19433962264151</v>
      </c>
      <c r="E23" s="13" t="str">
        <f aca="false">IF(D23&gt;3,"FLAG - implausibly high, re-download EDGAR","OK")</f>
        <v>FLAG - implausibly high, re-download EDGAR</v>
      </c>
    </row>
    <row r="24" customFormat="false" ht="74.25" hidden="false" customHeight="true" outlineLevel="0" collapsed="false">
      <c r="E24" s="9" t="s">
        <v>523</v>
      </c>
    </row>
    <row r="26" customFormat="false" ht="15" hidden="false" customHeight="true" outlineLevel="0" collapsed="false">
      <c r="C26" s="13" t="s">
        <v>329</v>
      </c>
      <c r="D26" s="34" t="n">
        <f aca="false">(Q17-P17)/Q17</f>
        <v>0.816927496786875</v>
      </c>
    </row>
    <row r="27" customFormat="false" ht="42.75" hidden="false" customHeight="true" outlineLevel="0" collapsed="false">
      <c r="C27" s="9" t="s">
        <v>524</v>
      </c>
    </row>
    <row r="29" customFormat="false" ht="95.25" hidden="false" customHeight="true" outlineLevel="0" collapsed="false">
      <c r="C29" s="9" t="s">
        <v>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I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40"/>
    <col collapsed="false" customWidth="true" hidden="false" outlineLevel="0" max="4" min="4" style="1" width="16"/>
    <col collapsed="false" customWidth="true" hidden="false" outlineLevel="0" max="5" min="5" style="1" width="18"/>
    <col collapsed="false" customWidth="true" hidden="false" outlineLevel="0" max="6" min="6" style="1" width="20"/>
    <col collapsed="false" customWidth="true" hidden="false" outlineLevel="0" max="7" min="7" style="1" width="13"/>
    <col collapsed="false" customWidth="true" hidden="false" outlineLevel="0" max="8" min="8" style="1" width="11"/>
    <col collapsed="false" customWidth="true" hidden="false" outlineLevel="0" max="9" min="9" style="1" width="50"/>
  </cols>
  <sheetData>
    <row r="1" customFormat="false" ht="21.75" hidden="false" customHeight="true" outlineLevel="0" collapsed="false">
      <c r="B1" s="2" t="s">
        <v>526</v>
      </c>
      <c r="C1" s="3"/>
      <c r="D1" s="3"/>
      <c r="E1" s="3"/>
      <c r="F1" s="3"/>
      <c r="G1" s="3"/>
      <c r="H1" s="3"/>
      <c r="I1" s="3"/>
    </row>
    <row r="2" customFormat="false" ht="262.5" hidden="false" customHeight="true" outlineLevel="0" collapsed="false">
      <c r="B2" s="9" t="s">
        <v>527</v>
      </c>
    </row>
    <row r="5" customFormat="false" ht="31.5" hidden="false" customHeight="true" outlineLevel="0" collapsed="false">
      <c r="B5" s="6" t="s">
        <v>372</v>
      </c>
      <c r="C5" s="6" t="s">
        <v>373</v>
      </c>
      <c r="D5" s="6" t="s">
        <v>528</v>
      </c>
      <c r="E5" s="6" t="s">
        <v>457</v>
      </c>
      <c r="F5" s="6" t="s">
        <v>529</v>
      </c>
      <c r="G5" s="6" t="s">
        <v>375</v>
      </c>
      <c r="H5" s="6" t="s">
        <v>376</v>
      </c>
      <c r="I5" s="6" t="s">
        <v>530</v>
      </c>
    </row>
    <row r="6" customFormat="false" ht="15" hidden="false" customHeight="true" outlineLevel="0" collapsed="false">
      <c r="B6" s="13" t="s">
        <v>397</v>
      </c>
      <c r="C6" s="21" t="s">
        <v>398</v>
      </c>
      <c r="D6" s="25" t="n">
        <f aca="false">INDEX(Emissions_Allocation!$F$17:$O$17,MATCH($B6,Emissions_Allocation!$F$18:$O$18,0))</f>
        <v>1.86</v>
      </c>
      <c r="E6" s="25" t="n">
        <f aca="false">Sector_Master!H8</f>
        <v>2592.5160436744</v>
      </c>
      <c r="F6" s="37" t="n">
        <f aca="false">IF(E6&lt;=0,0,D6*1000000/E6)</f>
        <v>717.449754858143</v>
      </c>
      <c r="G6" s="26" t="n">
        <f aca="false">Sector_Master!I8</f>
        <v>0.25</v>
      </c>
      <c r="H6" s="20" t="n">
        <f aca="false">Sector_Master!J8</f>
        <v>1</v>
      </c>
    </row>
    <row r="7" customFormat="false" ht="15" hidden="false" customHeight="true" outlineLevel="0" collapsed="false">
      <c r="B7" s="13" t="s">
        <v>399</v>
      </c>
      <c r="C7" s="21" t="s">
        <v>400</v>
      </c>
      <c r="D7" s="25" t="n">
        <f aca="false">INDEX(Emissions_Allocation!$F$17:$O$17,MATCH($B7,Emissions_Allocation!$F$18:$O$18,0))</f>
        <v>45.4635</v>
      </c>
      <c r="E7" s="25" t="n">
        <f aca="false">Sector_Master!H9</f>
        <v>38362.5636182872</v>
      </c>
      <c r="F7" s="37" t="n">
        <f aca="false">IF(E7&lt;=0,0,D7*1000000/E7)</f>
        <v>1185.10067398957</v>
      </c>
      <c r="G7" s="26" t="n">
        <f aca="false">Sector_Master!I9</f>
        <v>0.05</v>
      </c>
      <c r="H7" s="20" t="n">
        <f aca="false">Sector_Master!J9</f>
        <v>1</v>
      </c>
    </row>
    <row r="8" customFormat="false" ht="15" hidden="false" customHeight="true" outlineLevel="0" collapsed="false">
      <c r="B8" s="13" t="s">
        <v>401</v>
      </c>
      <c r="C8" s="21" t="s">
        <v>402</v>
      </c>
      <c r="D8" s="25" t="n">
        <f aca="false">INDEX(Emissions_Allocation!$F$17:$O$17,MATCH($B8,Emissions_Allocation!$F$18:$O$18,0))</f>
        <v>0.7145</v>
      </c>
      <c r="E8" s="25" t="n">
        <f aca="false">Sector_Master!H10</f>
        <v>535.24464</v>
      </c>
      <c r="F8" s="37" t="n">
        <f aca="false">IF(E8&lt;=0,0,D8*1000000/E8)</f>
        <v>1334.90360594737</v>
      </c>
      <c r="G8" s="26" t="n">
        <f aca="false">Sector_Master!I10</f>
        <v>0.3</v>
      </c>
      <c r="H8" s="20" t="n">
        <f aca="false">Sector_Master!J10</f>
        <v>1</v>
      </c>
    </row>
    <row r="9" customFormat="false" ht="15" hidden="false" customHeight="true" outlineLevel="0" collapsed="false">
      <c r="B9" s="13" t="s">
        <v>403</v>
      </c>
      <c r="C9" s="21" t="s">
        <v>88</v>
      </c>
      <c r="D9" s="25" t="n">
        <f aca="false">INDEX(Emissions_Allocation!$F$17:$O$17,MATCH($B9,Emissions_Allocation!$F$18:$O$18,0))</f>
        <v>20.7425</v>
      </c>
      <c r="E9" s="25" t="n">
        <f aca="false">Sector_Master!H11</f>
        <v>9934.4101589408</v>
      </c>
      <c r="F9" s="37" t="n">
        <f aca="false">IF(E9&lt;=0,0,D9*1000000/E9)</f>
        <v>2087.94479673583</v>
      </c>
      <c r="G9" s="26" t="n">
        <f aca="false">Sector_Master!I11</f>
        <v>0.3</v>
      </c>
      <c r="H9" s="20" t="n">
        <f aca="false">Sector_Master!J11</f>
        <v>1</v>
      </c>
    </row>
    <row r="10" customFormat="false" ht="15" hidden="false" customHeight="true" outlineLevel="0" collapsed="false">
      <c r="B10" s="13" t="s">
        <v>404</v>
      </c>
      <c r="C10" s="21" t="s">
        <v>405</v>
      </c>
      <c r="D10" s="25" t="n">
        <f aca="false">INDEX(Emissions_Allocation!$F$17:$O$17,MATCH($B10,Emissions_Allocation!$F$18:$O$18,0))</f>
        <v>22.5225</v>
      </c>
      <c r="E10" s="25" t="n">
        <f aca="false">Sector_Master!H12</f>
        <v>2522.97275052</v>
      </c>
      <c r="F10" s="37" t="n">
        <f aca="false">IF(E10&lt;=0,0,D10*1000000/E10)</f>
        <v>8926.9691855998</v>
      </c>
      <c r="G10" s="26" t="n">
        <f aca="false">Sector_Master!I12</f>
        <v>0.8</v>
      </c>
      <c r="H10" s="20" t="n">
        <f aca="false">Sector_Master!J12</f>
        <v>1</v>
      </c>
    </row>
    <row r="11" customFormat="false" ht="15" hidden="false" customHeight="true" outlineLevel="0" collapsed="false">
      <c r="B11" s="13" t="s">
        <v>406</v>
      </c>
      <c r="C11" s="21" t="s">
        <v>407</v>
      </c>
      <c r="D11" s="25" t="n">
        <f aca="false">INDEX(Emissions_Allocation!$F$17:$O$17,MATCH($B11,Emissions_Allocation!$F$18:$O$18,0))</f>
        <v>1.429</v>
      </c>
      <c r="E11" s="25" t="n">
        <f aca="false">Sector_Master!H13</f>
        <v>7194.707657256</v>
      </c>
      <c r="F11" s="37" t="n">
        <f aca="false">IF(E11&lt;=0,0,D11*1000000/E11)</f>
        <v>198.61821606592</v>
      </c>
      <c r="G11" s="26" t="n">
        <f aca="false">Sector_Master!I13</f>
        <v>0.5</v>
      </c>
      <c r="H11" s="20" t="n">
        <f aca="false">Sector_Master!J13</f>
        <v>1</v>
      </c>
    </row>
    <row r="12" customFormat="false" ht="15" hidden="false" customHeight="true" outlineLevel="0" collapsed="false">
      <c r="B12" s="13" t="s">
        <v>408</v>
      </c>
      <c r="C12" s="21" t="s">
        <v>409</v>
      </c>
      <c r="D12" s="25" t="n">
        <f aca="false">INDEX(Emissions_Allocation!$F$17:$O$17,MATCH($B12,Emissions_Allocation!$F$18:$O$18,0))</f>
        <v>3.524</v>
      </c>
      <c r="E12" s="25" t="n">
        <f aca="false">Sector_Master!H14</f>
        <v>8233.3250123264</v>
      </c>
      <c r="F12" s="37" t="n">
        <f aca="false">IF(E12&lt;=0,0,D12*1000000/E12)</f>
        <v>428.016626906395</v>
      </c>
      <c r="G12" s="26" t="n">
        <f aca="false">Sector_Master!I14</f>
        <v>0.7</v>
      </c>
      <c r="H12" s="20" t="n">
        <f aca="false">Sector_Master!J14</f>
        <v>1</v>
      </c>
    </row>
    <row r="13" customFormat="false" ht="15" hidden="false" customHeight="true" outlineLevel="0" collapsed="false">
      <c r="B13" s="13" t="s">
        <v>410</v>
      </c>
      <c r="C13" s="21" t="s">
        <v>411</v>
      </c>
      <c r="D13" s="25" t="n">
        <f aca="false">INDEX(Emissions_Allocation!$F$17:$O$17,MATCH($B13,Emissions_Allocation!$F$18:$O$18,0))</f>
        <v>5.204</v>
      </c>
      <c r="E13" s="25" t="n">
        <f aca="false">Sector_Master!H15</f>
        <v>4371.4921853768</v>
      </c>
      <c r="F13" s="37" t="n">
        <f aca="false">IF(E13&lt;=0,0,D13*1000000/E13)</f>
        <v>1190.44019280374</v>
      </c>
      <c r="G13" s="26" t="n">
        <f aca="false">Sector_Master!I15</f>
        <v>0.6</v>
      </c>
      <c r="H13" s="20" t="n">
        <f aca="false">Sector_Master!J15</f>
        <v>1</v>
      </c>
    </row>
    <row r="14" customFormat="false" ht="15" hidden="false" customHeight="true" outlineLevel="0" collapsed="false">
      <c r="B14" s="13" t="s">
        <v>412</v>
      </c>
      <c r="C14" s="21" t="s">
        <v>413</v>
      </c>
      <c r="D14" s="25" t="n">
        <f aca="false">INDEX(Emissions_Allocation!$F$17:$O$17,MATCH($B14,Emissions_Allocation!$F$18:$O$18,0))</f>
        <v>1.1115</v>
      </c>
      <c r="E14" s="25" t="n">
        <f aca="false">Sector_Master!H16</f>
        <v>1522.5385334936</v>
      </c>
      <c r="F14" s="37" t="n">
        <f aca="false">IF(E14&lt;=0,0,D14*1000000/E14)</f>
        <v>730.030784475165</v>
      </c>
      <c r="G14" s="26" t="n">
        <f aca="false">Sector_Master!I16</f>
        <v>0.35</v>
      </c>
      <c r="H14" s="20" t="n">
        <f aca="false">Sector_Master!J16</f>
        <v>1</v>
      </c>
    </row>
    <row r="15" customFormat="false" ht="15" hidden="false" customHeight="true" outlineLevel="0" collapsed="false">
      <c r="B15" s="13" t="s">
        <v>414</v>
      </c>
      <c r="C15" s="21" t="s">
        <v>415</v>
      </c>
      <c r="D15" s="25" t="n">
        <f aca="false">INDEX(Emissions_Allocation!$F$17:$O$17,MATCH($B15,Emissions_Allocation!$F$18:$O$18,0))</f>
        <v>5.4835</v>
      </c>
      <c r="E15" s="25" t="n">
        <f aca="false">Sector_Master!H17</f>
        <v>33869.9594825576</v>
      </c>
      <c r="F15" s="37" t="n">
        <f aca="false">IF(E15&lt;=0,0,D15*1000000/E15)</f>
        <v>161.898628866796</v>
      </c>
      <c r="G15" s="26" t="n">
        <f aca="false">Sector_Master!I17</f>
        <v>0.6</v>
      </c>
      <c r="H15" s="20" t="n">
        <f aca="false">Sector_Master!J17</f>
        <v>1</v>
      </c>
    </row>
    <row r="16" customFormat="false" ht="15" hidden="false" customHeight="true" outlineLevel="0" collapsed="false">
      <c r="C16" s="13" t="s">
        <v>479</v>
      </c>
      <c r="D16" s="41" t="n">
        <f aca="false">SUM(D6:D15)</f>
        <v>108.055</v>
      </c>
      <c r="E16" s="41" t="n">
        <f aca="false">SUM(E6:E15)</f>
        <v>109139.730082433</v>
      </c>
    </row>
    <row r="17" customFormat="false" ht="15" hidden="false" customHeight="true" outlineLevel="0" collapsed="false">
      <c r="C17" s="13" t="s">
        <v>531</v>
      </c>
      <c r="F17" s="41" t="n">
        <f aca="false">D16*1000000/E16</f>
        <v>990.061088829765</v>
      </c>
    </row>
    <row r="19" customFormat="false" ht="439.5" hidden="false" customHeight="true" outlineLevel="0" collapsed="false">
      <c r="B19" s="9" t="s">
        <v>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H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0"/>
    <col collapsed="false" customWidth="true" hidden="false" outlineLevel="0" max="6" min="3" style="1" width="12"/>
    <col collapsed="false" customWidth="true" hidden="false" outlineLevel="0" max="7" min="7" style="1" width="4"/>
    <col collapsed="false" customWidth="true" hidden="false" outlineLevel="0" max="8" min="8" style="1" width="92"/>
  </cols>
  <sheetData>
    <row r="1" customFormat="false" ht="21.75" hidden="false" customHeight="true" outlineLevel="0" collapsed="false">
      <c r="B1" s="2" t="s">
        <v>533</v>
      </c>
      <c r="C1" s="3"/>
      <c r="D1" s="3"/>
      <c r="E1" s="3"/>
      <c r="F1" s="3"/>
      <c r="G1" s="3"/>
      <c r="H1" s="3"/>
    </row>
    <row r="5" customFormat="false" ht="31.5" hidden="false" customHeight="true" outlineLevel="0" collapsed="false">
      <c r="B5" s="6" t="s">
        <v>534</v>
      </c>
      <c r="C5" s="46" t="n">
        <v>2030</v>
      </c>
      <c r="D5" s="46" t="n">
        <v>2035</v>
      </c>
      <c r="E5" s="46" t="n">
        <v>2040</v>
      </c>
      <c r="F5" s="46" t="n">
        <v>2050</v>
      </c>
    </row>
    <row r="6" customFormat="false" ht="15" hidden="false" customHeight="true" outlineLevel="0" collapsed="false">
      <c r="B6" s="21" t="s">
        <v>363</v>
      </c>
      <c r="C6" s="47" t="n">
        <v>200</v>
      </c>
      <c r="D6" s="47" t="n">
        <v>294</v>
      </c>
      <c r="E6" s="47" t="n">
        <v>420</v>
      </c>
      <c r="F6" s="47" t="n">
        <v>630</v>
      </c>
    </row>
    <row r="7" customFormat="false" ht="15" hidden="false" customHeight="true" outlineLevel="0" collapsed="false">
      <c r="B7" s="21" t="s">
        <v>364</v>
      </c>
      <c r="C7" s="47" t="n">
        <v>5</v>
      </c>
      <c r="D7" s="47" t="n">
        <v>100</v>
      </c>
      <c r="E7" s="47" t="n">
        <v>165</v>
      </c>
      <c r="F7" s="47" t="n">
        <v>315</v>
      </c>
    </row>
    <row r="8" customFormat="false" ht="15" hidden="false" customHeight="true" outlineLevel="0" collapsed="false">
      <c r="B8" s="21" t="s">
        <v>365</v>
      </c>
      <c r="C8" s="47" t="n">
        <v>5</v>
      </c>
      <c r="D8" s="47" t="n">
        <v>6</v>
      </c>
      <c r="E8" s="47" t="n">
        <v>8</v>
      </c>
      <c r="F8" s="47" t="n">
        <v>10</v>
      </c>
    </row>
    <row r="9" customFormat="false" ht="15" hidden="false" customHeight="true" outlineLevel="0" collapsed="false">
      <c r="B9" s="21" t="s">
        <v>366</v>
      </c>
      <c r="C9" s="47" t="n">
        <v>5</v>
      </c>
      <c r="D9" s="47" t="n">
        <v>20</v>
      </c>
      <c r="E9" s="47" t="n">
        <v>35</v>
      </c>
      <c r="F9" s="47" t="n">
        <v>55</v>
      </c>
    </row>
    <row r="11" customFormat="false" ht="42.75" hidden="false" customHeight="true" outlineLevel="0" collapsed="false">
      <c r="B11" s="9" t="s">
        <v>535</v>
      </c>
    </row>
    <row r="12" customFormat="false" ht="95.25" hidden="false" customHeight="true" outlineLevel="0" collapsed="false">
      <c r="B12" s="9" t="s">
        <v>536</v>
      </c>
    </row>
    <row r="14" customFormat="false" ht="126.75" hidden="false" customHeight="true" outlineLevel="0" collapsed="false">
      <c r="B14" s="9" t="s">
        <v>537</v>
      </c>
    </row>
    <row r="17" customFormat="false" ht="53.25" hidden="false" customHeight="true" outlineLevel="0" collapsed="false">
      <c r="B17" s="9" t="s">
        <v>538</v>
      </c>
    </row>
    <row r="19" customFormat="false" ht="53.25" hidden="false" customHeight="true" outlineLevel="0" collapsed="false">
      <c r="B19" s="9"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I3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8"/>
    <col collapsed="false" customWidth="true" hidden="false" outlineLevel="0" max="3" min="3" style="1" width="22"/>
    <col collapsed="false" customWidth="true" hidden="false" outlineLevel="0" max="7" min="4" style="1" width="14"/>
    <col collapsed="false" customWidth="true" hidden="false" outlineLevel="0" max="8" min="8" style="1" width="4"/>
    <col collapsed="false" customWidth="true" hidden="false" outlineLevel="0" max="9" min="9" style="1" width="92"/>
  </cols>
  <sheetData>
    <row r="1" customFormat="false" ht="21.75" hidden="false" customHeight="true" outlineLevel="0" collapsed="false">
      <c r="B1" s="2" t="s">
        <v>540</v>
      </c>
      <c r="C1" s="3"/>
      <c r="D1" s="3"/>
      <c r="E1" s="3"/>
      <c r="F1" s="3"/>
      <c r="G1" s="3"/>
      <c r="H1" s="3"/>
      <c r="I1" s="3"/>
    </row>
    <row r="4" customFormat="false" ht="15" hidden="false" customHeight="true" outlineLevel="0" collapsed="false">
      <c r="B4" s="4" t="s">
        <v>541</v>
      </c>
    </row>
    <row r="5" customFormat="false" ht="31.5" hidden="false" customHeight="true" outlineLevel="0" collapsed="false">
      <c r="B5" s="6" t="s">
        <v>542</v>
      </c>
      <c r="C5" s="6" t="s">
        <v>543</v>
      </c>
      <c r="D5" s="6" t="s">
        <v>544</v>
      </c>
    </row>
    <row r="6" customFormat="false" ht="15" hidden="false" customHeight="true" outlineLevel="0" collapsed="false">
      <c r="B6" s="21" t="s">
        <v>545</v>
      </c>
      <c r="C6" s="21" t="s">
        <v>363</v>
      </c>
      <c r="D6" s="48" t="n">
        <v>1.4</v>
      </c>
    </row>
    <row r="7" customFormat="false" ht="15" hidden="false" customHeight="true" outlineLevel="0" collapsed="false">
      <c r="B7" s="21" t="s">
        <v>546</v>
      </c>
      <c r="C7" s="21" t="s">
        <v>364</v>
      </c>
      <c r="D7" s="48" t="n">
        <v>1.7</v>
      </c>
    </row>
    <row r="8" customFormat="false" ht="15" hidden="false" customHeight="true" outlineLevel="0" collapsed="false">
      <c r="B8" s="21" t="s">
        <v>547</v>
      </c>
      <c r="C8" s="21" t="s">
        <v>365</v>
      </c>
      <c r="D8" s="48" t="n">
        <v>3</v>
      </c>
    </row>
    <row r="9" customFormat="false" ht="15" hidden="false" customHeight="true" outlineLevel="0" collapsed="false">
      <c r="B9" s="21" t="s">
        <v>548</v>
      </c>
      <c r="C9" s="21" t="s">
        <v>366</v>
      </c>
      <c r="D9" s="48" t="n">
        <v>2.4</v>
      </c>
    </row>
    <row r="10" customFormat="false" ht="32.25" hidden="false" customHeight="true" outlineLevel="0" collapsed="false">
      <c r="B10" s="9" t="s">
        <v>549</v>
      </c>
    </row>
    <row r="12" customFormat="false" ht="15" hidden="false" customHeight="true" outlineLevel="0" collapsed="false">
      <c r="B12" s="4" t="s">
        <v>550</v>
      </c>
    </row>
    <row r="13" customFormat="false" ht="15" hidden="false" customHeight="true" outlineLevel="0" collapsed="false">
      <c r="B13" s="21" t="s">
        <v>551</v>
      </c>
      <c r="C13" s="49" t="n">
        <v>2010</v>
      </c>
    </row>
    <row r="14" customFormat="false" ht="15" hidden="false" customHeight="true" outlineLevel="0" collapsed="false">
      <c r="B14" s="21" t="s">
        <v>552</v>
      </c>
      <c r="C14" s="49" t="n">
        <v>2023</v>
      </c>
    </row>
    <row r="15" customFormat="false" ht="32.25" hidden="false" customHeight="true" outlineLevel="0" collapsed="false">
      <c r="B15" s="13" t="s">
        <v>553</v>
      </c>
      <c r="C15" s="50" t="n">
        <v>1.35</v>
      </c>
      <c r="I15" s="9" t="s">
        <v>554</v>
      </c>
    </row>
    <row r="18" customFormat="false" ht="15" hidden="false" customHeight="true" outlineLevel="0" collapsed="false">
      <c r="B18" s="4" t="s">
        <v>555</v>
      </c>
    </row>
    <row r="19" customFormat="false" ht="31.5" hidden="false" customHeight="true" outlineLevel="0" collapsed="false">
      <c r="B19" s="6" t="s">
        <v>534</v>
      </c>
      <c r="C19" s="6"/>
      <c r="D19" s="46" t="n">
        <v>2030</v>
      </c>
      <c r="E19" s="46" t="n">
        <v>2035</v>
      </c>
      <c r="F19" s="46" t="n">
        <v>2040</v>
      </c>
      <c r="G19" s="46" t="n">
        <v>2050</v>
      </c>
    </row>
    <row r="20" customFormat="false" ht="15" hidden="false" customHeight="true" outlineLevel="0" collapsed="false">
      <c r="B20" s="21" t="s">
        <v>363</v>
      </c>
      <c r="D20" s="38" t="n">
        <v>-1.5</v>
      </c>
      <c r="E20" s="51" t="n">
        <f aca="false">(D20+F20)/2</f>
        <v>-1.25</v>
      </c>
      <c r="F20" s="38" t="n">
        <v>-1</v>
      </c>
      <c r="G20" s="38" t="n">
        <v>-0.8</v>
      </c>
    </row>
    <row r="21" customFormat="false" ht="15" hidden="false" customHeight="true" outlineLevel="0" collapsed="false">
      <c r="B21" s="21" t="s">
        <v>364</v>
      </c>
      <c r="D21" s="38" t="n">
        <v>-0.3</v>
      </c>
      <c r="E21" s="51" t="n">
        <f aca="false">(D21+F21)/2</f>
        <v>-1.15</v>
      </c>
      <c r="F21" s="38" t="n">
        <v>-2</v>
      </c>
      <c r="G21" s="38" t="n">
        <v>-1.7</v>
      </c>
    </row>
    <row r="22" customFormat="false" ht="15" hidden="false" customHeight="true" outlineLevel="0" collapsed="false">
      <c r="B22" s="21" t="s">
        <v>365</v>
      </c>
      <c r="D22" s="38" t="n">
        <v>0</v>
      </c>
      <c r="E22" s="51" t="n">
        <f aca="false">(D22+F22)/2</f>
        <v>0</v>
      </c>
      <c r="F22" s="38" t="n">
        <v>0</v>
      </c>
      <c r="G22" s="38" t="n">
        <v>0</v>
      </c>
    </row>
    <row r="23" customFormat="false" ht="15" hidden="false" customHeight="true" outlineLevel="0" collapsed="false">
      <c r="B23" s="21" t="s">
        <v>366</v>
      </c>
      <c r="D23" s="38" t="n">
        <v>0</v>
      </c>
      <c r="E23" s="51" t="n">
        <f aca="false">(D23+F23)/2</f>
        <v>0</v>
      </c>
      <c r="F23" s="38" t="n">
        <v>0</v>
      </c>
      <c r="G23" s="38" t="n">
        <v>0</v>
      </c>
    </row>
    <row r="25" customFormat="false" ht="15" hidden="false" customHeight="true" outlineLevel="0" collapsed="false">
      <c r="B25" s="13" t="s">
        <v>556</v>
      </c>
      <c r="D25" s="13" t="str">
        <f aca="false">IF(COUNTIF(D23:G23,0)=4,"ACTION - FW deviation is zero in every year","PASS")</f>
        <v>ACTION - FW deviation is zero in every year</v>
      </c>
    </row>
    <row r="27" customFormat="false" ht="137.25" hidden="false" customHeight="true" outlineLevel="0" collapsed="false">
      <c r="B27" s="9" t="s">
        <v>557</v>
      </c>
    </row>
    <row r="30" customFormat="false" ht="84.75" hidden="false" customHeight="true" outlineLevel="0" collapsed="false">
      <c r="B30" s="9" t="s">
        <v>558</v>
      </c>
    </row>
    <row r="32" customFormat="false" ht="63.75" hidden="false" customHeight="true" outlineLevel="0" collapsed="false">
      <c r="B32" s="9" t="s">
        <v>559</v>
      </c>
    </row>
    <row r="34" customFormat="false" ht="137.25" hidden="false" customHeight="true" outlineLevel="0" collapsed="false">
      <c r="B34" s="9" t="s">
        <v>560</v>
      </c>
    </row>
    <row r="38" customFormat="false" ht="15" hidden="false" customHeight="true" outlineLevel="0" collapsed="false">
      <c r="B38" s="4" t="s">
        <v>561</v>
      </c>
    </row>
    <row r="39" customFormat="false" ht="15" hidden="false" customHeight="true" outlineLevel="0" collapsed="false">
      <c r="B39" s="13" t="s">
        <v>562</v>
      </c>
      <c r="C39" s="52" t="n">
        <v>2040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G1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6"/>
    <col collapsed="false" customWidth="true" hidden="false" outlineLevel="0" max="4" min="3" style="1" width="20"/>
    <col collapsed="false" customWidth="true" hidden="false" outlineLevel="0" max="5" min="5" style="1" width="4"/>
    <col collapsed="false" customWidth="true" hidden="false" outlineLevel="0" max="6" min="6" style="1" width="94"/>
  </cols>
  <sheetData>
    <row r="1" customFormat="false" ht="21.75" hidden="false" customHeight="true" outlineLevel="0" collapsed="false">
      <c r="B1" s="2" t="s">
        <v>563</v>
      </c>
      <c r="C1" s="3"/>
      <c r="D1" s="3"/>
      <c r="E1" s="3"/>
      <c r="F1" s="3"/>
      <c r="G1" s="3"/>
    </row>
    <row r="2" customFormat="false" ht="53.25" hidden="false" customHeight="true" outlineLevel="0" collapsed="false">
      <c r="B2" s="9" t="s">
        <v>564</v>
      </c>
    </row>
    <row r="5" customFormat="false" ht="31.5" hidden="false" customHeight="true" outlineLevel="0" collapsed="false">
      <c r="B5" s="6" t="s">
        <v>534</v>
      </c>
      <c r="C5" s="6" t="s">
        <v>565</v>
      </c>
      <c r="D5" s="6" t="s">
        <v>566</v>
      </c>
    </row>
    <row r="6" customFormat="false" ht="15" hidden="false" customHeight="true" outlineLevel="0" collapsed="false">
      <c r="B6" s="21" t="s">
        <v>363</v>
      </c>
      <c r="C6" s="50" t="n">
        <v>1</v>
      </c>
      <c r="D6" s="50" t="n">
        <v>1</v>
      </c>
    </row>
    <row r="7" customFormat="false" ht="15" hidden="false" customHeight="true" outlineLevel="0" collapsed="false">
      <c r="B7" s="21" t="s">
        <v>364</v>
      </c>
      <c r="C7" s="50" t="n">
        <v>1</v>
      </c>
      <c r="D7" s="50" t="n">
        <v>1</v>
      </c>
    </row>
    <row r="8" customFormat="false" ht="15" hidden="false" customHeight="true" outlineLevel="0" collapsed="false">
      <c r="B8" s="21" t="s">
        <v>365</v>
      </c>
      <c r="C8" s="50" t="n">
        <v>1</v>
      </c>
      <c r="D8" s="50" t="n">
        <v>1</v>
      </c>
    </row>
    <row r="9" customFormat="false" ht="15" hidden="false" customHeight="true" outlineLevel="0" collapsed="false">
      <c r="B9" s="21" t="s">
        <v>366</v>
      </c>
      <c r="C9" s="50" t="n">
        <v>1</v>
      </c>
      <c r="D9" s="50" t="n">
        <v>1</v>
      </c>
    </row>
    <row r="11" customFormat="false" ht="116.25" hidden="false" customHeight="true" outlineLevel="0" collapsed="false">
      <c r="B11" s="9" t="s">
        <v>567</v>
      </c>
    </row>
    <row r="14" customFormat="false" ht="84.75" hidden="false" customHeight="true" outlineLevel="0" collapsed="false">
      <c r="B14" s="9" t="s">
        <v>568</v>
      </c>
    </row>
    <row r="17" customFormat="false" ht="32.25" hidden="false" customHeight="true" outlineLevel="0" collapsed="false">
      <c r="B17" s="9" t="s">
        <v>569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1:I5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34"/>
    <col collapsed="false" customWidth="true" hidden="false" outlineLevel="0" max="6" min="3" style="1" width="16"/>
    <col collapsed="false" customWidth="true" hidden="false" outlineLevel="0" max="7" min="7" style="1" width="4"/>
    <col collapsed="false" customWidth="true" hidden="false" outlineLevel="0" max="8" min="8" style="1" width="92"/>
  </cols>
  <sheetData>
    <row r="1" customFormat="false" ht="21.75" hidden="false" customHeight="true" outlineLevel="0" collapsed="false">
      <c r="B1" s="2" t="s">
        <v>570</v>
      </c>
      <c r="C1" s="3"/>
      <c r="D1" s="3"/>
      <c r="E1" s="3"/>
      <c r="F1" s="3"/>
      <c r="G1" s="3"/>
      <c r="H1" s="3"/>
      <c r="I1" s="3"/>
    </row>
    <row r="2" customFormat="false" ht="95.25" hidden="false" customHeight="true" outlineLevel="0" collapsed="false">
      <c r="B2" s="9" t="s">
        <v>571</v>
      </c>
    </row>
    <row r="4" customFormat="false" ht="15" hidden="false" customHeight="true" outlineLevel="0" collapsed="false">
      <c r="B4" s="4" t="s">
        <v>572</v>
      </c>
    </row>
    <row r="5" customFormat="false" ht="31.5" hidden="false" customHeight="true" outlineLevel="0" collapsed="false">
      <c r="B5" s="6" t="s">
        <v>573</v>
      </c>
      <c r="C5" s="6" t="s">
        <v>574</v>
      </c>
      <c r="D5" s="6" t="s">
        <v>575</v>
      </c>
      <c r="E5" s="6" t="s">
        <v>576</v>
      </c>
    </row>
    <row r="6" customFormat="false" ht="36" hidden="false" customHeight="true" outlineLevel="0" collapsed="false">
      <c r="B6" s="21" t="s">
        <v>577</v>
      </c>
      <c r="C6" s="49" t="n">
        <v>2007</v>
      </c>
      <c r="D6" s="47" t="n">
        <v>4200</v>
      </c>
      <c r="E6" s="15" t="s">
        <v>578</v>
      </c>
    </row>
    <row r="7" customFormat="false" ht="24" hidden="false" customHeight="true" outlineLevel="0" collapsed="false">
      <c r="B7" s="21" t="s">
        <v>579</v>
      </c>
      <c r="C7" s="49" t="n">
        <v>2010</v>
      </c>
      <c r="D7" s="47" t="n">
        <v>700</v>
      </c>
      <c r="E7" s="15" t="s">
        <v>580</v>
      </c>
    </row>
    <row r="8" customFormat="false" ht="24" hidden="false" customHeight="true" outlineLevel="0" collapsed="false">
      <c r="B8" s="21" t="s">
        <v>581</v>
      </c>
      <c r="C8" s="49" t="n">
        <v>2021</v>
      </c>
      <c r="D8" s="47" t="n">
        <v>500</v>
      </c>
      <c r="E8" s="15" t="s">
        <v>582</v>
      </c>
    </row>
    <row r="9" customFormat="false" ht="15" hidden="false" customHeight="true" outlineLevel="0" collapsed="false">
      <c r="B9" s="13" t="s">
        <v>583</v>
      </c>
      <c r="D9" s="53" t="n">
        <f aca="false">SUM(D6:D8)</f>
        <v>5400</v>
      </c>
    </row>
    <row r="10" customFormat="false" ht="21.75" hidden="false" customHeight="true" outlineLevel="0" collapsed="false">
      <c r="B10" s="21" t="s">
        <v>584</v>
      </c>
      <c r="D10" s="52" t="n">
        <v>18</v>
      </c>
      <c r="H10" s="9" t="s">
        <v>585</v>
      </c>
    </row>
    <row r="11" customFormat="false" ht="15" hidden="false" customHeight="true" outlineLevel="0" collapsed="false">
      <c r="B11" s="13" t="s">
        <v>586</v>
      </c>
      <c r="D11" s="53" t="n">
        <f aca="false">D9/D10</f>
        <v>300</v>
      </c>
    </row>
    <row r="12" customFormat="false" ht="15" hidden="false" customHeight="true" outlineLevel="0" collapsed="false">
      <c r="B12" s="21" t="s">
        <v>587</v>
      </c>
      <c r="D12" s="22" t="n">
        <f aca="false">Sector_Master!E18*Sector_Master!C5</f>
        <v>109139.730082433</v>
      </c>
    </row>
    <row r="13" customFormat="false" ht="15" hidden="false" customHeight="true" outlineLevel="0" collapsed="false">
      <c r="B13" s="13" t="s">
        <v>588</v>
      </c>
      <c r="D13" s="54" t="n">
        <f aca="false">D11/D12</f>
        <v>0.00274876985469371</v>
      </c>
    </row>
    <row r="14" customFormat="false" ht="74.25" hidden="false" customHeight="true" outlineLevel="0" collapsed="false">
      <c r="B14" s="9" t="s">
        <v>589</v>
      </c>
    </row>
    <row r="17" customFormat="false" ht="15" hidden="false" customHeight="true" outlineLevel="0" collapsed="false">
      <c r="B17" s="4" t="s">
        <v>590</v>
      </c>
    </row>
    <row r="18" customFormat="false" ht="31.5" hidden="false" customHeight="true" outlineLevel="0" collapsed="false">
      <c r="B18" s="6" t="s">
        <v>591</v>
      </c>
      <c r="C18" s="6" t="s">
        <v>592</v>
      </c>
      <c r="D18" s="6" t="s">
        <v>593</v>
      </c>
      <c r="E18" s="6" t="s">
        <v>112</v>
      </c>
    </row>
    <row r="19" customFormat="false" ht="30" hidden="false" customHeight="true" outlineLevel="0" collapsed="false">
      <c r="B19" s="13" t="s">
        <v>594</v>
      </c>
      <c r="C19" s="21" t="s">
        <v>595</v>
      </c>
      <c r="D19" s="55" t="n">
        <f aca="false">D13</f>
        <v>0.00274876985469371</v>
      </c>
      <c r="E19" s="15" t="s">
        <v>596</v>
      </c>
      <c r="F19" s="15" t="s">
        <v>597</v>
      </c>
    </row>
    <row r="20" customFormat="false" ht="30" hidden="false" customHeight="true" outlineLevel="0" collapsed="false">
      <c r="B20" s="13" t="s">
        <v>598</v>
      </c>
      <c r="C20" s="21" t="s">
        <v>599</v>
      </c>
      <c r="D20" s="56" t="n">
        <v>0.003</v>
      </c>
      <c r="E20" s="15" t="s">
        <v>600</v>
      </c>
      <c r="F20" s="15" t="s">
        <v>601</v>
      </c>
    </row>
    <row r="21" customFormat="false" ht="30" hidden="false" customHeight="true" outlineLevel="0" collapsed="false">
      <c r="B21" s="13" t="s">
        <v>602</v>
      </c>
      <c r="C21" s="21" t="s">
        <v>603</v>
      </c>
      <c r="D21" s="56" t="n">
        <v>0.001</v>
      </c>
      <c r="E21" s="15" t="s">
        <v>604</v>
      </c>
      <c r="F21" s="15" t="s">
        <v>605</v>
      </c>
    </row>
    <row r="23" customFormat="false" ht="168" hidden="false" customHeight="true" outlineLevel="0" collapsed="false">
      <c r="B23" s="9" t="s">
        <v>606</v>
      </c>
    </row>
    <row r="27" customFormat="false" ht="15" hidden="false" customHeight="true" outlineLevel="0" collapsed="false">
      <c r="B27" s="4" t="s">
        <v>607</v>
      </c>
    </row>
    <row r="28" customFormat="false" ht="15" hidden="false" customHeight="true" outlineLevel="0" collapsed="false">
      <c r="B28" s="21" t="s">
        <v>608</v>
      </c>
      <c r="D28" s="38" t="n">
        <v>1.3</v>
      </c>
    </row>
    <row r="29" customFormat="false" ht="15" hidden="false" customHeight="true" outlineLevel="0" collapsed="false">
      <c r="B29" s="21" t="s">
        <v>609</v>
      </c>
      <c r="D29" s="52" t="n">
        <v>2025</v>
      </c>
    </row>
    <row r="30" customFormat="false" ht="15" hidden="false" customHeight="true" outlineLevel="0" collapsed="false">
      <c r="B30" s="21" t="s">
        <v>359</v>
      </c>
      <c r="D30" s="17" t="n">
        <f aca="false">Scenario_Mapping!C39</f>
        <v>2040</v>
      </c>
    </row>
    <row r="31" customFormat="false" ht="31.5" hidden="false" customHeight="true" outlineLevel="0" collapsed="false">
      <c r="B31" s="6" t="s">
        <v>534</v>
      </c>
      <c r="C31" s="6"/>
      <c r="D31" s="6" t="s">
        <v>544</v>
      </c>
      <c r="E31" s="6" t="s">
        <v>610</v>
      </c>
      <c r="F31" s="6" t="s">
        <v>611</v>
      </c>
    </row>
    <row r="32" customFormat="false" ht="15" hidden="false" customHeight="true" outlineLevel="0" collapsed="false">
      <c r="B32" s="21" t="s">
        <v>363</v>
      </c>
      <c r="D32" s="57" t="n">
        <f aca="false">Scenario_Mapping!D6</f>
        <v>1.4</v>
      </c>
      <c r="E32" s="58" t="n">
        <f aca="false">$D$28+(D32-$D$28)*($D$30-$D$29)/(2100-$D$29)</f>
        <v>1.32</v>
      </c>
      <c r="F32" s="58" t="n">
        <f aca="false">E32/$D$28</f>
        <v>1.01538461538462</v>
      </c>
    </row>
    <row r="33" customFormat="false" ht="15" hidden="false" customHeight="true" outlineLevel="0" collapsed="false">
      <c r="B33" s="21" t="s">
        <v>364</v>
      </c>
      <c r="D33" s="57" t="n">
        <f aca="false">Scenario_Mapping!D7</f>
        <v>1.7</v>
      </c>
      <c r="E33" s="58" t="n">
        <f aca="false">$D$28+(D33-$D$28)*($D$30-$D$29)/(2100-$D$29)</f>
        <v>1.38</v>
      </c>
      <c r="F33" s="58" t="n">
        <f aca="false">E33/$D$28</f>
        <v>1.06153846153846</v>
      </c>
    </row>
    <row r="34" customFormat="false" ht="15" hidden="false" customHeight="true" outlineLevel="0" collapsed="false">
      <c r="B34" s="21" t="s">
        <v>365</v>
      </c>
      <c r="D34" s="57" t="n">
        <f aca="false">Scenario_Mapping!D8</f>
        <v>3</v>
      </c>
      <c r="E34" s="58" t="n">
        <f aca="false">$D$28+(D34-$D$28)*($D$30-$D$29)/(2100-$D$29)</f>
        <v>1.64</v>
      </c>
      <c r="F34" s="58" t="n">
        <f aca="false">E34/$D$28</f>
        <v>1.26153846153846</v>
      </c>
    </row>
    <row r="35" customFormat="false" ht="15" hidden="false" customHeight="true" outlineLevel="0" collapsed="false">
      <c r="B35" s="21" t="s">
        <v>366</v>
      </c>
      <c r="D35" s="57" t="n">
        <f aca="false">Scenario_Mapping!D9</f>
        <v>2.4</v>
      </c>
      <c r="E35" s="58" t="n">
        <f aca="false">$D$28+(D35-$D$28)*($D$30-$D$29)/(2100-$D$29)</f>
        <v>1.52</v>
      </c>
      <c r="F35" s="58" t="n">
        <f aca="false">E35/$D$28</f>
        <v>1.16923076923077</v>
      </c>
    </row>
    <row r="36" customFormat="false" ht="84.75" hidden="false" customHeight="true" outlineLevel="0" collapsed="false">
      <c r="B36" s="9" t="s">
        <v>612</v>
      </c>
    </row>
    <row r="39" customFormat="false" ht="105.75" hidden="false" customHeight="true" outlineLevel="0" collapsed="false">
      <c r="B39" s="9" t="s">
        <v>613</v>
      </c>
    </row>
    <row r="43" customFormat="false" ht="15" hidden="false" customHeight="true" outlineLevel="0" collapsed="false">
      <c r="B43" s="4" t="s">
        <v>614</v>
      </c>
    </row>
    <row r="44" customFormat="false" ht="31.5" hidden="false" customHeight="true" outlineLevel="0" collapsed="false">
      <c r="B44" s="6" t="s">
        <v>591</v>
      </c>
      <c r="C44" s="6" t="s">
        <v>615</v>
      </c>
      <c r="D44" s="6" t="s">
        <v>363</v>
      </c>
      <c r="E44" s="6" t="s">
        <v>364</v>
      </c>
      <c r="F44" s="6" t="s">
        <v>365</v>
      </c>
      <c r="G44" s="6" t="s">
        <v>366</v>
      </c>
    </row>
    <row r="45" customFormat="false" ht="48" hidden="false" customHeight="true" outlineLevel="0" collapsed="false">
      <c r="B45" s="13" t="s">
        <v>594</v>
      </c>
      <c r="C45" s="59" t="n">
        <v>2</v>
      </c>
      <c r="D45" s="58" t="n">
        <f aca="false">Physical_Hazard!$F$32^$C45</f>
        <v>1.03100591715976</v>
      </c>
      <c r="E45" s="58" t="n">
        <f aca="false">Physical_Hazard!$F$33^$C45</f>
        <v>1.12686390532544</v>
      </c>
      <c r="F45" s="58" t="n">
        <f aca="false">Physical_Hazard!$F$34^$C45</f>
        <v>1.59147928994083</v>
      </c>
      <c r="G45" s="58" t="n">
        <f aca="false">Physical_Hazard!$F$35^$C45</f>
        <v>1.36710059171598</v>
      </c>
      <c r="I45" s="15" t="s">
        <v>616</v>
      </c>
    </row>
    <row r="46" customFormat="false" ht="36" hidden="false" customHeight="true" outlineLevel="0" collapsed="false">
      <c r="B46" s="13" t="s">
        <v>598</v>
      </c>
      <c r="C46" s="59" t="n">
        <v>3</v>
      </c>
      <c r="D46" s="58" t="n">
        <f aca="false">Physical_Hazard!$F$32^$C46</f>
        <v>1.04686754665453</v>
      </c>
      <c r="E46" s="58" t="n">
        <f aca="false">Physical_Hazard!$F$33^$C46</f>
        <v>1.19620937642239</v>
      </c>
      <c r="F46" s="58" t="n">
        <f aca="false">Physical_Hazard!$F$34^$C46</f>
        <v>2.00771233500228</v>
      </c>
      <c r="G46" s="58" t="n">
        <f aca="false">Physical_Hazard!$F$35^$C46</f>
        <v>1.59845607646791</v>
      </c>
      <c r="I46" s="15" t="s">
        <v>617</v>
      </c>
    </row>
    <row r="47" customFormat="false" ht="36" hidden="false" customHeight="true" outlineLevel="0" collapsed="false">
      <c r="B47" s="13" t="s">
        <v>602</v>
      </c>
      <c r="C47" s="59" t="n">
        <v>1.5</v>
      </c>
      <c r="D47" s="58" t="n">
        <f aca="false">Physical_Hazard!$F$32^$C47</f>
        <v>1.02316545419327</v>
      </c>
      <c r="E47" s="58" t="n">
        <f aca="false">Physical_Hazard!$F$33^$C47</f>
        <v>1.09371357147216</v>
      </c>
      <c r="F47" s="58" t="n">
        <f aca="false">Physical_Hazard!$F$34^$C47</f>
        <v>1.41693766094429</v>
      </c>
      <c r="G47" s="58" t="n">
        <f aca="false">Physical_Hazard!$F$35^$C47</f>
        <v>1.26430062740944</v>
      </c>
      <c r="I47" s="15" t="s">
        <v>618</v>
      </c>
    </row>
    <row r="49" customFormat="false" ht="74.25" hidden="false" customHeight="true" outlineLevel="0" collapsed="false">
      <c r="B49" s="9" t="s">
        <v>619</v>
      </c>
    </row>
    <row r="53" customFormat="false" ht="15" hidden="false" customHeight="true" outlineLevel="0" collapsed="false">
      <c r="B53" s="4" t="s">
        <v>620</v>
      </c>
    </row>
    <row r="54" customFormat="false" ht="31.5" hidden="false" customHeight="true" outlineLevel="0" collapsed="false">
      <c r="B54" s="6" t="s">
        <v>591</v>
      </c>
      <c r="C54" s="6" t="s">
        <v>621</v>
      </c>
      <c r="D54" s="6" t="s">
        <v>622</v>
      </c>
      <c r="E54" s="6" t="s">
        <v>623</v>
      </c>
    </row>
    <row r="55" customFormat="false" ht="60" hidden="false" customHeight="true" outlineLevel="0" collapsed="false">
      <c r="B55" s="13" t="s">
        <v>594</v>
      </c>
      <c r="C55" s="60" t="n">
        <v>0.25</v>
      </c>
      <c r="D55" s="60" t="n">
        <v>0.6</v>
      </c>
      <c r="E55" s="15" t="s">
        <v>624</v>
      </c>
    </row>
    <row r="56" customFormat="false" ht="27.75" hidden="false" customHeight="true" outlineLevel="0" collapsed="false">
      <c r="B56" s="13" t="s">
        <v>598</v>
      </c>
      <c r="C56" s="60" t="n">
        <v>0</v>
      </c>
      <c r="D56" s="60" t="n">
        <v>1</v>
      </c>
      <c r="E56" s="15" t="s">
        <v>625</v>
      </c>
    </row>
    <row r="57" customFormat="false" ht="27.75" hidden="false" customHeight="true" outlineLevel="0" collapsed="false">
      <c r="B57" s="13" t="s">
        <v>602</v>
      </c>
      <c r="C57" s="60" t="n">
        <v>0</v>
      </c>
      <c r="D57" s="60" t="n">
        <v>1</v>
      </c>
      <c r="E57" s="15" t="s">
        <v>626</v>
      </c>
    </row>
    <row r="59" customFormat="false" ht="147.75" hidden="false" customHeight="true" outlineLevel="0" collapsed="false">
      <c r="B59" s="9" t="s">
        <v>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1:K3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40"/>
    <col collapsed="false" customWidth="true" hidden="false" outlineLevel="0" max="4" min="4" style="1" width="11"/>
    <col collapsed="false" customWidth="true" hidden="false" outlineLevel="0" max="7" min="5" style="1" width="10"/>
    <col collapsed="false" customWidth="true" hidden="false" outlineLevel="0" max="10" min="8" style="1" width="11"/>
    <col collapsed="false" customWidth="true" hidden="false" outlineLevel="0" max="11" min="11" style="1" width="78"/>
  </cols>
  <sheetData>
    <row r="1" customFormat="false" ht="21.75" hidden="false" customHeight="true" outlineLevel="0" collapsed="false">
      <c r="B1" s="2" t="s">
        <v>628</v>
      </c>
      <c r="C1" s="3"/>
      <c r="D1" s="3"/>
      <c r="E1" s="3"/>
      <c r="F1" s="3"/>
      <c r="G1" s="3"/>
      <c r="H1" s="3"/>
      <c r="I1" s="3"/>
      <c r="J1" s="3"/>
      <c r="K1" s="3"/>
    </row>
    <row r="2" customFormat="false" ht="596.25" hidden="false" customHeight="true" outlineLevel="0" collapsed="false">
      <c r="B2" s="9" t="s">
        <v>629</v>
      </c>
    </row>
    <row r="5" customFormat="false" ht="31.5" hidden="false" customHeight="true" outlineLevel="0" collapsed="false">
      <c r="B5" s="6" t="s">
        <v>372</v>
      </c>
      <c r="C5" s="6" t="s">
        <v>373</v>
      </c>
      <c r="D5" s="6" t="s">
        <v>630</v>
      </c>
      <c r="E5" s="6" t="s">
        <v>631</v>
      </c>
      <c r="F5" s="6" t="s">
        <v>632</v>
      </c>
      <c r="G5" s="6" t="s">
        <v>633</v>
      </c>
      <c r="H5" s="6" t="s">
        <v>634</v>
      </c>
      <c r="I5" s="6" t="s">
        <v>635</v>
      </c>
      <c r="J5" s="6" t="s">
        <v>636</v>
      </c>
      <c r="K5" s="6" t="s">
        <v>623</v>
      </c>
    </row>
    <row r="6" customFormat="false" ht="36" hidden="false" customHeight="true" outlineLevel="0" collapsed="false">
      <c r="B6" s="13" t="s">
        <v>397</v>
      </c>
      <c r="C6" s="21" t="s">
        <v>398</v>
      </c>
      <c r="D6" s="26" t="n">
        <f aca="false">Sector_Master!E8/Sector_Master!$E$18</f>
        <v>0.0237540998288733</v>
      </c>
      <c r="E6" s="59" t="n">
        <v>2.5</v>
      </c>
      <c r="F6" s="59" t="n">
        <v>3</v>
      </c>
      <c r="G6" s="59" t="n">
        <v>5</v>
      </c>
      <c r="H6" s="58" t="n">
        <f aca="false">E6/E$16</f>
        <v>2.40131889890694</v>
      </c>
      <c r="I6" s="58" t="n">
        <f aca="false">F6/F$16</f>
        <v>2.57559921785904</v>
      </c>
      <c r="J6" s="58" t="n">
        <f aca="false">G6/G$16</f>
        <v>5.20457550642331</v>
      </c>
      <c r="K6" s="15" t="s">
        <v>637</v>
      </c>
    </row>
    <row r="7" customFormat="false" ht="36" hidden="false" customHeight="true" outlineLevel="0" collapsed="false">
      <c r="B7" s="13" t="s">
        <v>399</v>
      </c>
      <c r="C7" s="21" t="s">
        <v>400</v>
      </c>
      <c r="D7" s="26" t="n">
        <f aca="false">Sector_Master!E9/Sector_Master!$E$18</f>
        <v>0.351499528075726</v>
      </c>
      <c r="E7" s="59" t="n">
        <v>0.7</v>
      </c>
      <c r="F7" s="59" t="n">
        <v>1.5</v>
      </c>
      <c r="G7" s="59" t="n">
        <v>1.5</v>
      </c>
      <c r="H7" s="58" t="n">
        <f aca="false">E7/E$16</f>
        <v>0.672369291693944</v>
      </c>
      <c r="I7" s="58" t="n">
        <f aca="false">F7/F$16</f>
        <v>1.28779960892952</v>
      </c>
      <c r="J7" s="58" t="n">
        <f aca="false">G7/G$16</f>
        <v>1.56137265192699</v>
      </c>
      <c r="K7" s="15" t="s">
        <v>638</v>
      </c>
    </row>
    <row r="8" customFormat="false" ht="25.5" hidden="false" customHeight="true" outlineLevel="0" collapsed="false">
      <c r="B8" s="13" t="s">
        <v>401</v>
      </c>
      <c r="C8" s="21" t="s">
        <v>402</v>
      </c>
      <c r="D8" s="26" t="n">
        <f aca="false">Sector_Master!E10/Sector_Master!$E$18</f>
        <v>0.00490421443772797</v>
      </c>
      <c r="E8" s="59" t="n">
        <v>1</v>
      </c>
      <c r="F8" s="59" t="n">
        <v>3</v>
      </c>
      <c r="G8" s="59" t="n">
        <v>1.5</v>
      </c>
      <c r="H8" s="58" t="n">
        <f aca="false">E8/E$16</f>
        <v>0.960527559562778</v>
      </c>
      <c r="I8" s="58" t="n">
        <f aca="false">F8/F$16</f>
        <v>2.57559921785904</v>
      </c>
      <c r="J8" s="58" t="n">
        <f aca="false">G8/G$16</f>
        <v>1.56137265192699</v>
      </c>
      <c r="K8" s="15" t="s">
        <v>639</v>
      </c>
    </row>
    <row r="9" customFormat="false" ht="36" hidden="false" customHeight="true" outlineLevel="0" collapsed="false">
      <c r="B9" s="13" t="s">
        <v>403</v>
      </c>
      <c r="C9" s="21" t="s">
        <v>88</v>
      </c>
      <c r="D9" s="26" t="n">
        <f aca="false">Sector_Master!E11/Sector_Master!$E$18</f>
        <v>0.0910246905635315</v>
      </c>
      <c r="E9" s="59" t="n">
        <v>2</v>
      </c>
      <c r="F9" s="59" t="n">
        <v>1</v>
      </c>
      <c r="G9" s="59" t="n">
        <v>1.2</v>
      </c>
      <c r="H9" s="58" t="n">
        <f aca="false">E9/E$16</f>
        <v>1.92105511912556</v>
      </c>
      <c r="I9" s="58" t="n">
        <f aca="false">F9/F$16</f>
        <v>0.858533072619681</v>
      </c>
      <c r="J9" s="58" t="n">
        <f aca="false">G9/G$16</f>
        <v>1.24909812154159</v>
      </c>
      <c r="K9" s="15" t="s">
        <v>640</v>
      </c>
    </row>
    <row r="10" customFormat="false" ht="36" hidden="false" customHeight="true" outlineLevel="0" collapsed="false">
      <c r="B10" s="13" t="s">
        <v>404</v>
      </c>
      <c r="C10" s="21" t="s">
        <v>405</v>
      </c>
      <c r="D10" s="26" t="n">
        <f aca="false">Sector_Master!E12/Sector_Master!$E$18</f>
        <v>0.0231169048028102</v>
      </c>
      <c r="E10" s="59" t="n">
        <v>2.2</v>
      </c>
      <c r="F10" s="59" t="n">
        <v>1.2</v>
      </c>
      <c r="G10" s="59" t="n">
        <v>2</v>
      </c>
      <c r="H10" s="58" t="n">
        <f aca="false">E10/E$16</f>
        <v>2.11316063103811</v>
      </c>
      <c r="I10" s="58" t="n">
        <f aca="false">F10/F$16</f>
        <v>1.03023968714362</v>
      </c>
      <c r="J10" s="58" t="n">
        <f aca="false">G10/G$16</f>
        <v>2.08183020256932</v>
      </c>
      <c r="K10" s="15" t="s">
        <v>641</v>
      </c>
    </row>
    <row r="11" customFormat="false" ht="36" hidden="false" customHeight="true" outlineLevel="0" collapsed="false">
      <c r="B11" s="13" t="s">
        <v>406</v>
      </c>
      <c r="C11" s="21" t="s">
        <v>407</v>
      </c>
      <c r="D11" s="26" t="n">
        <f aca="false">Sector_Master!E13/Sector_Master!$E$18</f>
        <v>0.0659219850719978</v>
      </c>
      <c r="E11" s="59" t="n">
        <v>1.5</v>
      </c>
      <c r="F11" s="59" t="n">
        <v>3.5</v>
      </c>
      <c r="G11" s="59" t="n">
        <v>0.8</v>
      </c>
      <c r="H11" s="58" t="n">
        <f aca="false">E11/E$16</f>
        <v>1.44079133934417</v>
      </c>
      <c r="I11" s="58" t="n">
        <f aca="false">F11/F$16</f>
        <v>3.00486575416888</v>
      </c>
      <c r="J11" s="58" t="n">
        <f aca="false">G11/G$16</f>
        <v>0.83273208102773</v>
      </c>
      <c r="K11" s="15" t="s">
        <v>642</v>
      </c>
    </row>
    <row r="12" customFormat="false" ht="25.5" hidden="false" customHeight="true" outlineLevel="0" collapsed="false">
      <c r="B12" s="13" t="s">
        <v>408</v>
      </c>
      <c r="C12" s="21" t="s">
        <v>409</v>
      </c>
      <c r="D12" s="26" t="n">
        <f aca="false">Sector_Master!E14/Sector_Master!$E$18</f>
        <v>0.0754383853259285</v>
      </c>
      <c r="E12" s="59" t="n">
        <v>1.8</v>
      </c>
      <c r="F12" s="59" t="n">
        <v>0.5</v>
      </c>
      <c r="G12" s="59" t="n">
        <v>0.2</v>
      </c>
      <c r="H12" s="58" t="n">
        <f aca="false">E12/E$16</f>
        <v>1.728949607213</v>
      </c>
      <c r="I12" s="58" t="n">
        <f aca="false">F12/F$16</f>
        <v>0.429266536309841</v>
      </c>
      <c r="J12" s="58" t="n">
        <f aca="false">G12/G$16</f>
        <v>0.208183020256932</v>
      </c>
      <c r="K12" s="15" t="s">
        <v>643</v>
      </c>
    </row>
    <row r="13" customFormat="false" ht="25.5" hidden="false" customHeight="true" outlineLevel="0" collapsed="false">
      <c r="B13" s="13" t="s">
        <v>410</v>
      </c>
      <c r="C13" s="21" t="s">
        <v>411</v>
      </c>
      <c r="D13" s="26" t="n">
        <f aca="false">Sector_Master!E15/Sector_Master!$E$18</f>
        <v>0.0400540864639763</v>
      </c>
      <c r="E13" s="59" t="n">
        <v>2</v>
      </c>
      <c r="F13" s="59" t="n">
        <v>1.5</v>
      </c>
      <c r="G13" s="59" t="n">
        <v>0.2</v>
      </c>
      <c r="H13" s="58" t="n">
        <f aca="false">E13/E$16</f>
        <v>1.92105511912556</v>
      </c>
      <c r="I13" s="58" t="n">
        <f aca="false">F13/F$16</f>
        <v>1.28779960892952</v>
      </c>
      <c r="J13" s="58" t="n">
        <f aca="false">G13/G$16</f>
        <v>0.208183020256932</v>
      </c>
      <c r="K13" s="15" t="s">
        <v>644</v>
      </c>
    </row>
    <row r="14" customFormat="false" ht="25.5" hidden="false" customHeight="true" outlineLevel="0" collapsed="false">
      <c r="B14" s="13" t="s">
        <v>412</v>
      </c>
      <c r="C14" s="21" t="s">
        <v>413</v>
      </c>
      <c r="D14" s="26" t="n">
        <f aca="false">Sector_Master!E16/Sector_Master!$E$18</f>
        <v>0.0139503600782559</v>
      </c>
      <c r="E14" s="59" t="n">
        <v>2</v>
      </c>
      <c r="F14" s="59" t="n">
        <v>0.8</v>
      </c>
      <c r="G14" s="59" t="n">
        <v>1</v>
      </c>
      <c r="H14" s="58" t="n">
        <f aca="false">E14/E$16</f>
        <v>1.92105511912556</v>
      </c>
      <c r="I14" s="58" t="n">
        <f aca="false">F14/F$16</f>
        <v>0.686826458095745</v>
      </c>
      <c r="J14" s="58" t="n">
        <f aca="false">G14/G$16</f>
        <v>1.04091510128466</v>
      </c>
      <c r="K14" s="15" t="s">
        <v>645</v>
      </c>
    </row>
    <row r="15" customFormat="false" ht="25.5" hidden="false" customHeight="true" outlineLevel="0" collapsed="false">
      <c r="B15" s="13" t="s">
        <v>414</v>
      </c>
      <c r="C15" s="21" t="s">
        <v>415</v>
      </c>
      <c r="D15" s="26" t="n">
        <f aca="false">Sector_Master!E17/Sector_Master!$E$18</f>
        <v>0.310335745351173</v>
      </c>
      <c r="E15" s="59" t="n">
        <v>0.5</v>
      </c>
      <c r="F15" s="59" t="n">
        <v>0.3</v>
      </c>
      <c r="G15" s="59" t="n">
        <v>0.2</v>
      </c>
      <c r="H15" s="58" t="n">
        <f aca="false">E15/E$16</f>
        <v>0.480263779781389</v>
      </c>
      <c r="I15" s="58" t="n">
        <f aca="false">F15/F$16</f>
        <v>0.257559921785904</v>
      </c>
      <c r="J15" s="58" t="n">
        <f aca="false">G15/G$16</f>
        <v>0.208183020256932</v>
      </c>
      <c r="K15" s="15" t="s">
        <v>646</v>
      </c>
    </row>
    <row r="16" customFormat="false" ht="15" hidden="false" customHeight="true" outlineLevel="0" collapsed="false">
      <c r="C16" s="13" t="s">
        <v>647</v>
      </c>
      <c r="E16" s="61" t="n">
        <f aca="false">SUMPRODUCT($D6:$D15,E6:E15)</f>
        <v>1.04109454231088</v>
      </c>
      <c r="F16" s="61" t="n">
        <f aca="false">SUMPRODUCT($D6:$D15,F6:F15)</f>
        <v>1.16477749301917</v>
      </c>
      <c r="G16" s="61" t="n">
        <f aca="false">SUMPRODUCT($D6:$D15,G6:G15)</f>
        <v>0.960693142760475</v>
      </c>
    </row>
    <row r="17" customFormat="false" ht="15" hidden="false" customHeight="true" outlineLevel="0" collapsed="false">
      <c r="C17" s="13" t="s">
        <v>648</v>
      </c>
      <c r="H17" s="61" t="n">
        <f aca="false">SUMPRODUCT($D6:$D15,H6:H15)</f>
        <v>1</v>
      </c>
      <c r="I17" s="61" t="n">
        <f aca="false">SUMPRODUCT($D6:$D15,I6:I15)</f>
        <v>1</v>
      </c>
      <c r="J17" s="61" t="n">
        <f aca="false">SUMPRODUCT($D6:$D15,J6:J15)</f>
        <v>1</v>
      </c>
    </row>
    <row r="18" customFormat="false" ht="15" hidden="false" customHeight="true" outlineLevel="0" collapsed="false">
      <c r="C18" s="13" t="s">
        <v>304</v>
      </c>
      <c r="H18" s="13" t="str">
        <f aca="false">IF(AND(ABS(H17-1)&lt;0.0001,ABS(I17-1)&lt;0.0001,ABS(J17-1)&lt;0.0001),"PASS","FAIL")</f>
        <v>PASS</v>
      </c>
    </row>
    <row r="20" customFormat="false" ht="84.75" hidden="false" customHeight="true" outlineLevel="0" collapsed="false">
      <c r="C20" s="9" t="s">
        <v>649</v>
      </c>
    </row>
    <row r="23" customFormat="false" ht="15" hidden="false" customHeight="true" outlineLevel="0" collapsed="false">
      <c r="C23" s="4" t="s">
        <v>650</v>
      </c>
    </row>
    <row r="24" customFormat="false" ht="31.5" hidden="false" customHeight="true" outlineLevel="0" collapsed="false">
      <c r="B24" s="6" t="s">
        <v>372</v>
      </c>
      <c r="C24" s="6" t="s">
        <v>373</v>
      </c>
      <c r="D24" s="6" t="s">
        <v>363</v>
      </c>
      <c r="E24" s="6" t="s">
        <v>364</v>
      </c>
      <c r="F24" s="6" t="s">
        <v>365</v>
      </c>
      <c r="G24" s="6" t="s">
        <v>366</v>
      </c>
    </row>
    <row r="25" customFormat="false" ht="15" hidden="false" customHeight="true" outlineLevel="0" collapsed="false">
      <c r="B25" s="13" t="s">
        <v>397</v>
      </c>
      <c r="C25" s="21" t="s">
        <v>398</v>
      </c>
      <c r="D25" s="62" t="n">
        <f aca="false">Physical_Hazard!$D$19*Physical_Hazard!D$45*$H6*(1-Physical_Hazard!$C$55)*Physical_Hazard!$D$55+Physical_Hazard!$D$20*Physical_Hazard!D$46*$I6*(1-Physical_Hazard!$C$56)*Physical_Hazard!$D$56+Physical_Hazard!$D$21*Physical_Hazard!D$47*$J6*(1-Physical_Hazard!$C$57)*Physical_Hazard!$D$57</f>
        <v>0.0164764753794968</v>
      </c>
      <c r="E25" s="62" t="n">
        <f aca="false">Physical_Hazard!$D$19*Physical_Hazard!E$45*$H6*(1-Physical_Hazard!$C$55)*Physical_Hazard!$D$55+Physical_Hazard!$D$20*Physical_Hazard!E$46*$I6*(1-Physical_Hazard!$C$56)*Physical_Hazard!$D$56+Physical_Hazard!$D$21*Physical_Hazard!E$47*$J6*(1-Physical_Hazard!$C$57)*Physical_Hazard!$D$57</f>
        <v>0.0182823097380213</v>
      </c>
      <c r="F25" s="62" t="n">
        <f aca="false">Physical_Hazard!$D$19*Physical_Hazard!F$45*$H6*(1-Physical_Hazard!$C$55)*Physical_Hazard!$D$55+Physical_Hazard!$D$20*Physical_Hazard!F$46*$I6*(1-Physical_Hazard!$C$56)*Physical_Hazard!$D$56+Physical_Hazard!$D$21*Physical_Hazard!F$47*$J6*(1-Physical_Hazard!$C$57)*Physical_Hazard!$D$57</f>
        <v>0.0276149214746485</v>
      </c>
      <c r="G25" s="62" t="n">
        <f aca="false">Physical_Hazard!$D$19*Physical_Hazard!G$45*$H6*(1-Physical_Hazard!$C$55)*Physical_Hazard!$D$55+Physical_Hazard!$D$20*Physical_Hazard!G$46*$I6*(1-Physical_Hazard!$C$56)*Physical_Hazard!$D$56+Physical_Hazard!$D$21*Physical_Hazard!G$47*$J6*(1-Physical_Hazard!$C$57)*Physical_Hazard!$D$57</f>
        <v>0.0229917975234853</v>
      </c>
    </row>
    <row r="26" customFormat="false" ht="15" hidden="false" customHeight="true" outlineLevel="0" collapsed="false">
      <c r="B26" s="13" t="s">
        <v>399</v>
      </c>
      <c r="C26" s="21" t="s">
        <v>400</v>
      </c>
      <c r="D26" s="62" t="n">
        <f aca="false">Physical_Hazard!$D$19*Physical_Hazard!D$45*$H7*(1-Physical_Hazard!$C$55)*Physical_Hazard!$D$55+Physical_Hazard!$D$20*Physical_Hazard!D$46*$I7*(1-Physical_Hazard!$C$56)*Physical_Hazard!$D$56+Physical_Hazard!$D$21*Physical_Hazard!D$47*$J7*(1-Physical_Hazard!$C$57)*Physical_Hazard!$D$57</f>
        <v>0.00649948135817854</v>
      </c>
      <c r="E26" s="62" t="n">
        <f aca="false">Physical_Hazard!$D$19*Physical_Hazard!E$45*$H7*(1-Physical_Hazard!$C$55)*Physical_Hazard!$D$55+Physical_Hazard!$D$20*Physical_Hazard!E$46*$I7*(1-Physical_Hazard!$C$56)*Physical_Hazard!$D$56+Physical_Hazard!$D$21*Physical_Hazard!E$47*$J7*(1-Physical_Hazard!$C$57)*Physical_Hazard!$D$57</f>
        <v>0.00726632394059255</v>
      </c>
      <c r="F26" s="62" t="n">
        <f aca="false">Physical_Hazard!$D$19*Physical_Hazard!F$45*$H7*(1-Physical_Hazard!$C$55)*Physical_Hazard!$D$55+Physical_Hazard!$D$20*Physical_Hazard!F$46*$I7*(1-Physical_Hazard!$C$56)*Physical_Hazard!$D$56+Physical_Hazard!$D$21*Physical_Hazard!F$47*$J7*(1-Physical_Hazard!$C$57)*Physical_Hazard!$D$57</f>
        <v>0.0112925703248009</v>
      </c>
      <c r="G26" s="62" t="n">
        <f aca="false">Physical_Hazard!$D$19*Physical_Hazard!G$45*$H7*(1-Physical_Hazard!$C$55)*Physical_Hazard!$D$55+Physical_Hazard!$D$20*Physical_Hazard!G$46*$I7*(1-Physical_Hazard!$C$56)*Physical_Hazard!$D$56+Physical_Hazard!$D$21*Physical_Hazard!G$47*$J7*(1-Physical_Hazard!$C$57)*Physical_Hazard!$D$57</f>
        <v>0.00928651453355895</v>
      </c>
    </row>
    <row r="27" customFormat="false" ht="15" hidden="false" customHeight="true" outlineLevel="0" collapsed="false">
      <c r="B27" s="13" t="s">
        <v>401</v>
      </c>
      <c r="C27" s="21" t="s">
        <v>402</v>
      </c>
      <c r="D27" s="62" t="n">
        <f aca="false">Physical_Hazard!$D$19*Physical_Hazard!D$45*$H8*(1-Physical_Hazard!$C$55)*Physical_Hazard!$D$55+Physical_Hazard!$D$20*Physical_Hazard!D$46*$I8*(1-Physical_Hazard!$C$56)*Physical_Hazard!$D$56+Physical_Hazard!$D$21*Physical_Hazard!D$47*$J8*(1-Physical_Hazard!$C$57)*Physical_Hazard!$D$57</f>
        <v>0.0109114361874652</v>
      </c>
      <c r="E27" s="62" t="n">
        <f aca="false">Physical_Hazard!$D$19*Physical_Hazard!E$45*$H8*(1-Physical_Hazard!$C$55)*Physical_Hazard!$D$55+Physical_Hazard!$D$20*Physical_Hazard!E$46*$I8*(1-Physical_Hazard!$C$56)*Physical_Hazard!$D$56+Physical_Hazard!$D$21*Physical_Hazard!E$47*$J8*(1-Physical_Hazard!$C$57)*Physical_Hazard!$D$57</f>
        <v>0.0122894130904523</v>
      </c>
      <c r="F27" s="62" t="n">
        <f aca="false">Physical_Hazard!$D$19*Physical_Hazard!F$45*$H8*(1-Physical_Hazard!$C$55)*Physical_Hazard!$D$55+Physical_Hazard!$D$20*Physical_Hazard!F$46*$I8*(1-Physical_Hazard!$C$56)*Physical_Hazard!$D$56+Physical_Hazard!$D$21*Physical_Hazard!F$47*$J8*(1-Physical_Hazard!$C$57)*Physical_Hazard!$D$57</f>
        <v>0.0196164248609235</v>
      </c>
      <c r="G27" s="62" t="n">
        <f aca="false">Physical_Hazard!$D$19*Physical_Hazard!G$45*$H8*(1-Physical_Hazard!$C$55)*Physical_Hazard!$D$55+Physical_Hazard!$D$20*Physical_Hazard!G$46*$I8*(1-Physical_Hazard!$C$56)*Physical_Hazard!$D$56+Physical_Hazard!$D$21*Physical_Hazard!G$47*$J8*(1-Physical_Hazard!$C$57)*Physical_Hazard!$D$57</f>
        <v>0.0159492721981761</v>
      </c>
    </row>
    <row r="28" customFormat="false" ht="15" hidden="false" customHeight="true" outlineLevel="0" collapsed="false">
      <c r="B28" s="13" t="s">
        <v>403</v>
      </c>
      <c r="C28" s="21" t="s">
        <v>88</v>
      </c>
      <c r="D28" s="62" t="n">
        <f aca="false">Physical_Hazard!$D$19*Physical_Hazard!D$45*$H9*(1-Physical_Hazard!$C$55)*Physical_Hazard!$D$55+Physical_Hazard!$D$20*Physical_Hazard!D$46*$I9*(1-Physical_Hazard!$C$56)*Physical_Hazard!$D$56+Physical_Hazard!$D$21*Physical_Hazard!D$47*$J9*(1-Physical_Hazard!$C$57)*Physical_Hazard!$D$57</f>
        <v>0.00642426513281469</v>
      </c>
      <c r="E28" s="62" t="n">
        <f aca="false">Physical_Hazard!$D$19*Physical_Hazard!E$45*$H9*(1-Physical_Hazard!$C$55)*Physical_Hazard!$D$55+Physical_Hazard!$D$20*Physical_Hazard!E$46*$I9*(1-Physical_Hazard!$C$56)*Physical_Hazard!$D$56+Physical_Hazard!$D$21*Physical_Hazard!E$47*$J9*(1-Physical_Hazard!$C$57)*Physical_Hazard!$D$57</f>
        <v>0.00712481315791318</v>
      </c>
      <c r="F28" s="62" t="n">
        <f aca="false">Physical_Hazard!$D$19*Physical_Hazard!F$45*$H9*(1-Physical_Hazard!$C$55)*Physical_Hazard!$D$55+Physical_Hazard!$D$20*Physical_Hazard!F$46*$I9*(1-Physical_Hazard!$C$56)*Physical_Hazard!$D$56+Physical_Hazard!$D$21*Physical_Hazard!F$47*$J9*(1-Physical_Hazard!$C$57)*Physical_Hazard!$D$57</f>
        <v>0.0107226968673174</v>
      </c>
      <c r="G28" s="62" t="n">
        <f aca="false">Physical_Hazard!$D$19*Physical_Hazard!G$45*$H9*(1-Physical_Hazard!$C$55)*Physical_Hazard!$D$55+Physical_Hazard!$D$20*Physical_Hazard!G$46*$I9*(1-Physical_Hazard!$C$56)*Physical_Hazard!$D$56+Physical_Hazard!$D$21*Physical_Hazard!G$47*$J9*(1-Physical_Hazard!$C$57)*Physical_Hazard!$D$57</f>
        <v>0.00894477998654671</v>
      </c>
    </row>
    <row r="29" customFormat="false" ht="15" hidden="false" customHeight="true" outlineLevel="0" collapsed="false">
      <c r="B29" s="13" t="s">
        <v>404</v>
      </c>
      <c r="C29" s="21" t="s">
        <v>405</v>
      </c>
      <c r="D29" s="62" t="n">
        <f aca="false">Physical_Hazard!$D$19*Physical_Hazard!D$45*$H10*(1-Physical_Hazard!$C$55)*Physical_Hazard!$D$55+Physical_Hazard!$D$20*Physical_Hazard!D$46*$I10*(1-Physical_Hazard!$C$56)*Physical_Hazard!$D$56+Physical_Hazard!$D$21*Physical_Hazard!D$47*$J10*(1-Physical_Hazard!$C$57)*Physical_Hazard!$D$57</f>
        <v>0.00806054206275284</v>
      </c>
      <c r="E29" s="62" t="n">
        <f aca="false">Physical_Hazard!$D$19*Physical_Hazard!E$45*$H10*(1-Physical_Hazard!$C$55)*Physical_Hazard!$D$55+Physical_Hazard!$D$20*Physical_Hazard!E$46*$I10*(1-Physical_Hazard!$C$56)*Physical_Hazard!$D$56+Physical_Hazard!$D$21*Physical_Hazard!E$47*$J10*(1-Physical_Hazard!$C$57)*Physical_Hazard!$D$57</f>
        <v>0.00891954488879266</v>
      </c>
      <c r="F29" s="62" t="n">
        <f aca="false">Physical_Hazard!$D$19*Physical_Hazard!F$45*$H10*(1-Physical_Hazard!$C$55)*Physical_Hazard!$D$55+Physical_Hazard!$D$20*Physical_Hazard!F$46*$I10*(1-Physical_Hazard!$C$56)*Physical_Hazard!$D$56+Physical_Hazard!$D$21*Physical_Hazard!F$47*$J10*(1-Physical_Hazard!$C$57)*Physical_Hazard!$D$57</f>
        <v>0.0133150128160429</v>
      </c>
      <c r="G29" s="62" t="n">
        <f aca="false">Physical_Hazard!$D$19*Physical_Hazard!G$45*$H10*(1-Physical_Hazard!$C$55)*Physical_Hazard!$D$55+Physical_Hazard!$D$20*Physical_Hazard!G$46*$I10*(1-Physical_Hazard!$C$56)*Physical_Hazard!$D$56+Physical_Hazard!$D$21*Physical_Hazard!G$47*$J10*(1-Physical_Hazard!$C$57)*Physical_Hazard!$D$57</f>
        <v>0.0111458563458659</v>
      </c>
    </row>
    <row r="30" customFormat="false" ht="15" hidden="false" customHeight="true" outlineLevel="0" collapsed="false">
      <c r="B30" s="13" t="s">
        <v>406</v>
      </c>
      <c r="C30" s="21" t="s">
        <v>407</v>
      </c>
      <c r="D30" s="62" t="n">
        <f aca="false">Physical_Hazard!$D$19*Physical_Hazard!D$45*$H11*(1-Physical_Hazard!$C$55)*Physical_Hazard!$D$55+Physical_Hazard!$D$20*Physical_Hazard!D$46*$I11*(1-Physical_Hazard!$C$56)*Physical_Hazard!$D$56+Physical_Hazard!$D$21*Physical_Hazard!D$47*$J11*(1-Physical_Hazard!$C$57)*Physical_Hazard!$D$57</f>
        <v>0.0121265519068777</v>
      </c>
      <c r="E30" s="62" t="n">
        <f aca="false">Physical_Hazard!$D$19*Physical_Hazard!E$45*$H11*(1-Physical_Hazard!$C$55)*Physical_Hazard!$D$55+Physical_Hazard!$D$20*Physical_Hazard!E$46*$I11*(1-Physical_Hazard!$C$56)*Physical_Hazard!$D$56+Physical_Hazard!$D$21*Physical_Hazard!E$47*$J11*(1-Physical_Hazard!$C$57)*Physical_Hazard!$D$57</f>
        <v>0.0137023923904826</v>
      </c>
      <c r="F30" s="62" t="n">
        <f aca="false">Physical_Hazard!$D$19*Physical_Hazard!F$45*$H11*(1-Physical_Hazard!$C$55)*Physical_Hazard!$D$55+Physical_Hazard!$D$20*Physical_Hazard!F$46*$I11*(1-Physical_Hazard!$C$56)*Physical_Hazard!$D$56+Physical_Hazard!$D$21*Physical_Hazard!F$47*$J11*(1-Physical_Hazard!$C$57)*Physical_Hazard!$D$57</f>
        <v>0.0221149528488265</v>
      </c>
      <c r="G30" s="62" t="n">
        <f aca="false">Physical_Hazard!$D$19*Physical_Hazard!G$45*$H11*(1-Physical_Hazard!$C$55)*Physical_Hazard!$D$55+Physical_Hazard!$D$20*Physical_Hazard!G$46*$I11*(1-Physical_Hazard!$C$56)*Physical_Hazard!$D$56+Physical_Hazard!$D$21*Physical_Hazard!G$47*$J11*(1-Physical_Hazard!$C$57)*Physical_Hazard!$D$57</f>
        <v>0.0178986831342618</v>
      </c>
    </row>
    <row r="31" customFormat="false" ht="15" hidden="false" customHeight="true" outlineLevel="0" collapsed="false">
      <c r="B31" s="13" t="s">
        <v>408</v>
      </c>
      <c r="C31" s="21" t="s">
        <v>409</v>
      </c>
      <c r="D31" s="62" t="n">
        <f aca="false">Physical_Hazard!$D$19*Physical_Hazard!D$45*$H12*(1-Physical_Hazard!$C$55)*Physical_Hazard!$D$55+Physical_Hazard!$D$20*Physical_Hazard!D$46*$I12*(1-Physical_Hazard!$C$56)*Physical_Hazard!$D$56+Physical_Hazard!$D$21*Physical_Hazard!D$47*$J12*(1-Physical_Hazard!$C$57)*Physical_Hazard!$D$57</f>
        <v>0.0037660891580904</v>
      </c>
      <c r="E31" s="62" t="n">
        <f aca="false">Physical_Hazard!$D$19*Physical_Hazard!E$45*$H12*(1-Physical_Hazard!$C$55)*Physical_Hazard!$D$55+Physical_Hazard!$D$20*Physical_Hazard!E$46*$I12*(1-Physical_Hazard!$C$56)*Physical_Hazard!$D$56+Physical_Hazard!$D$21*Physical_Hazard!E$47*$J12*(1-Physical_Hazard!$C$57)*Physical_Hazard!$D$57</f>
        <v>0.00417810205213588</v>
      </c>
      <c r="F31" s="62" t="n">
        <f aca="false">Physical_Hazard!$D$19*Physical_Hazard!F$45*$H12*(1-Physical_Hazard!$C$55)*Physical_Hazard!$D$55+Physical_Hazard!$D$20*Physical_Hazard!F$46*$I12*(1-Physical_Hazard!$C$56)*Physical_Hazard!$D$56+Physical_Hazard!$D$21*Physical_Hazard!F$47*$J12*(1-Physical_Hazard!$C$57)*Physical_Hazard!$D$57</f>
        <v>0.00628407986090539</v>
      </c>
      <c r="G31" s="62" t="n">
        <f aca="false">Physical_Hazard!$D$19*Physical_Hazard!G$45*$H12*(1-Physical_Hazard!$C$55)*Physical_Hazard!$D$55+Physical_Hazard!$D$20*Physical_Hazard!G$46*$I12*(1-Physical_Hazard!$C$56)*Physical_Hazard!$D$56+Physical_Hazard!$D$21*Physical_Hazard!G$47*$J12*(1-Physical_Hazard!$C$57)*Physical_Hazard!$D$57</f>
        <v>0.00524540303800086</v>
      </c>
    </row>
    <row r="32" customFormat="false" ht="15" hidden="false" customHeight="true" outlineLevel="0" collapsed="false">
      <c r="B32" s="13" t="s">
        <v>410</v>
      </c>
      <c r="C32" s="21" t="s">
        <v>411</v>
      </c>
      <c r="D32" s="62" t="n">
        <f aca="false">Physical_Hazard!$D$19*Physical_Hazard!D$45*$H13*(1-Physical_Hazard!$C$55)*Physical_Hazard!$D$55+Physical_Hazard!$D$20*Physical_Hazard!D$46*$I13*(1-Physical_Hazard!$C$56)*Physical_Hazard!$D$56+Physical_Hazard!$D$21*Physical_Hazard!D$47*$J13*(1-Physical_Hazard!$C$57)*Physical_Hazard!$D$57</f>
        <v>0.00670739237761484</v>
      </c>
      <c r="E32" s="62" t="n">
        <f aca="false">Physical_Hazard!$D$19*Physical_Hazard!E$45*$H13*(1-Physical_Hazard!$C$55)*Physical_Hazard!$D$55+Physical_Hazard!$D$20*Physical_Hazard!E$46*$I13*(1-Physical_Hazard!$C$56)*Physical_Hazard!$D$56+Physical_Hazard!$D$21*Physical_Hazard!E$47*$J13*(1-Physical_Hazard!$C$57)*Physical_Hazard!$D$57</f>
        <v>0.00752682815204241</v>
      </c>
      <c r="F32" s="62" t="n">
        <f aca="false">Physical_Hazard!$D$19*Physical_Hazard!F$45*$H13*(1-Physical_Hazard!$C$55)*Physical_Hazard!$D$55+Physical_Hazard!$D$20*Physical_Hazard!F$46*$I13*(1-Physical_Hazard!$C$56)*Physical_Hazard!$D$56+Physical_Hazard!$D$21*Physical_Hazard!F$47*$J13*(1-Physical_Hazard!$C$57)*Physical_Hazard!$D$57</f>
        <v>0.0118333162183205</v>
      </c>
      <c r="G32" s="62" t="n">
        <f aca="false">Physical_Hazard!$D$19*Physical_Hazard!G$45*$H13*(1-Physical_Hazard!$C$55)*Physical_Hazard!$D$55+Physical_Hazard!$D$20*Physical_Hazard!G$46*$I13*(1-Physical_Hazard!$C$56)*Physical_Hazard!$D$56+Physical_Hazard!$D$21*Physical_Hazard!G$47*$J13*(1-Physical_Hazard!$C$57)*Physical_Hazard!$D$57</f>
        <v>0.00968724148107894</v>
      </c>
    </row>
    <row r="33" customFormat="false" ht="15" hidden="false" customHeight="true" outlineLevel="0" collapsed="false">
      <c r="B33" s="13" t="s">
        <v>412</v>
      </c>
      <c r="C33" s="21" t="s">
        <v>413</v>
      </c>
      <c r="D33" s="62" t="n">
        <f aca="false">Physical_Hazard!$D$19*Physical_Hazard!D$45*$H14*(1-Physical_Hazard!$C$55)*Physical_Hazard!$D$55+Physical_Hazard!$D$20*Physical_Hazard!D$46*$I14*(1-Physical_Hazard!$C$56)*Physical_Hazard!$D$56+Physical_Hazard!$D$21*Physical_Hazard!D$47*$J14*(1-Physical_Hazard!$C$57)*Physical_Hazard!$D$57</f>
        <v>0.00567199721146509</v>
      </c>
      <c r="E33" s="62" t="n">
        <f aca="false">Physical_Hazard!$D$19*Physical_Hazard!E$45*$H14*(1-Physical_Hazard!$C$55)*Physical_Hazard!$D$55+Physical_Hazard!$D$20*Physical_Hazard!E$46*$I14*(1-Physical_Hazard!$C$56)*Physical_Hazard!$D$56+Physical_Hazard!$D$21*Physical_Hazard!E$47*$J14*(1-Physical_Hazard!$C$57)*Physical_Hazard!$D$57</f>
        <v>0.00628092937644628</v>
      </c>
      <c r="F33" s="62" t="n">
        <f aca="false">Physical_Hazard!$D$19*Physical_Hazard!F$45*$H14*(1-Physical_Hazard!$C$55)*Physical_Hazard!$D$55+Physical_Hazard!$D$20*Physical_Hazard!F$46*$I14*(1-Physical_Hazard!$C$56)*Physical_Hazard!$D$56+Physical_Hazard!$D$21*Physical_Hazard!F$47*$J14*(1-Physical_Hazard!$C$57)*Physical_Hazard!$D$57</f>
        <v>0.00939350204160269</v>
      </c>
      <c r="G33" s="62" t="n">
        <f aca="false">Physical_Hazard!$D$19*Physical_Hazard!G$45*$H14*(1-Physical_Hazard!$C$55)*Physical_Hazard!$D$55+Physical_Hazard!$D$20*Physical_Hazard!G$46*$I14*(1-Physical_Hazard!$C$56)*Physical_Hazard!$D$56+Physical_Hazard!$D$21*Physical_Hazard!G$47*$J14*(1-Physical_Hazard!$C$57)*Physical_Hazard!$D$57</f>
        <v>0.00785817761935332</v>
      </c>
    </row>
    <row r="34" customFormat="false" ht="15" hidden="false" customHeight="true" outlineLevel="0" collapsed="false">
      <c r="B34" s="13" t="s">
        <v>414</v>
      </c>
      <c r="C34" s="21" t="s">
        <v>415</v>
      </c>
      <c r="D34" s="62" t="n">
        <f aca="false">Physical_Hazard!$D$19*Physical_Hazard!D$45*$H15*(1-Physical_Hazard!$C$55)*Physical_Hazard!$D$55+Physical_Hazard!$D$20*Physical_Hazard!D$46*$I15*(1-Physical_Hazard!$C$56)*Physical_Hazard!$D$56+Physical_Hazard!$D$21*Physical_Hazard!D$47*$J15*(1-Physical_Hazard!$C$57)*Physical_Hazard!$D$57</f>
        <v>0.00163437900768369</v>
      </c>
      <c r="E34" s="62" t="n">
        <f aca="false">Physical_Hazard!$D$19*Physical_Hazard!E$45*$H15*(1-Physical_Hazard!$C$55)*Physical_Hazard!$D$55+Physical_Hazard!$D$20*Physical_Hazard!E$46*$I15*(1-Physical_Hazard!$C$56)*Physical_Hazard!$D$56+Physical_Hazard!$D$21*Physical_Hazard!E$47*$J15*(1-Physical_Hazard!$C$57)*Physical_Hazard!$D$57</f>
        <v>0.00182140478889122</v>
      </c>
      <c r="F34" s="62" t="n">
        <f aca="false">Physical_Hazard!$D$19*Physical_Hazard!F$45*$H15*(1-Physical_Hazard!$C$55)*Physical_Hazard!$D$55+Physical_Hazard!$D$20*Physical_Hazard!F$46*$I15*(1-Physical_Hazard!$C$56)*Physical_Hazard!$D$56+Physical_Hazard!$D$21*Physical_Hazard!F$47*$J15*(1-Physical_Hazard!$C$57)*Physical_Hazard!$D$57</f>
        <v>0.00279173615192966</v>
      </c>
      <c r="G34" s="62" t="n">
        <f aca="false">Physical_Hazard!$D$19*Physical_Hazard!G$45*$H15*(1-Physical_Hazard!$C$55)*Physical_Hazard!$D$55+Physical_Hazard!$D$20*Physical_Hazard!G$46*$I15*(1-Physical_Hazard!$C$56)*Physical_Hazard!$D$56+Physical_Hazard!$D$21*Physical_Hazard!G$47*$J15*(1-Physical_Hazard!$C$57)*Physical_Hazard!$D$57</f>
        <v>0.0023104411460899</v>
      </c>
    </row>
    <row r="35" customFormat="false" ht="15" hidden="false" customHeight="true" outlineLevel="0" collapsed="false">
      <c r="C35" s="13" t="s">
        <v>651</v>
      </c>
      <c r="D35" s="63" t="n">
        <f aca="false">SUMPRODUCT($D$6:$D$15,D25:D34)</f>
        <v>0.00543906718745168</v>
      </c>
      <c r="E35" s="63" t="n">
        <f aca="false">SUMPRODUCT($D$6:$D$15,E25:E34)</f>
        <v>0.0060762119907248</v>
      </c>
      <c r="F35" s="63" t="n">
        <f aca="false">SUMPRODUCT($D$6:$D$15,F25:F34)</f>
        <v>0.00940864929940253</v>
      </c>
      <c r="G35" s="63" t="n">
        <f aca="false">SUMPRODUCT($D$6:$D$15,G25:G34)</f>
        <v>0.00775069905949244</v>
      </c>
    </row>
    <row r="37" customFormat="false" ht="63.75" hidden="false" customHeight="true" outlineLevel="0" collapsed="false">
      <c r="C37" s="9" t="s">
        <v>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G6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6"/>
    <col collapsed="false" customWidth="true" hidden="false" outlineLevel="0" max="4" min="3" style="1" width="16"/>
    <col collapsed="false" customWidth="true" hidden="false" outlineLevel="0" max="5" min="5" style="1" width="4"/>
    <col collapsed="false" customWidth="true" hidden="false" outlineLevel="0" max="6" min="6" style="1" width="96"/>
  </cols>
  <sheetData>
    <row r="1" customFormat="false" ht="21.75" hidden="false" customHeight="true" outlineLevel="0" collapsed="false">
      <c r="B1" s="2" t="s">
        <v>653</v>
      </c>
      <c r="C1" s="3"/>
      <c r="D1" s="3"/>
      <c r="E1" s="3"/>
      <c r="F1" s="3"/>
      <c r="G1" s="3"/>
    </row>
    <row r="2" customFormat="false" ht="32.25" hidden="false" customHeight="true" outlineLevel="0" collapsed="false">
      <c r="B2" s="9" t="s">
        <v>654</v>
      </c>
    </row>
    <row r="4" customFormat="false" ht="15" hidden="false" customHeight="true" outlineLevel="0" collapsed="false">
      <c r="B4" s="4" t="s">
        <v>655</v>
      </c>
    </row>
    <row r="5" customFormat="false" ht="21.75" hidden="false" customHeight="true" outlineLevel="0" collapsed="false">
      <c r="B5" s="21" t="s">
        <v>656</v>
      </c>
      <c r="C5" s="64" t="n">
        <v>0.02</v>
      </c>
      <c r="F5" s="9" t="s">
        <v>657</v>
      </c>
    </row>
    <row r="6" customFormat="false" ht="32.25" hidden="false" customHeight="true" outlineLevel="0" collapsed="false">
      <c r="B6" s="21" t="s">
        <v>658</v>
      </c>
      <c r="C6" s="39" t="n">
        <v>0.005</v>
      </c>
      <c r="F6" s="9" t="s">
        <v>659</v>
      </c>
    </row>
    <row r="7" customFormat="false" ht="21.75" hidden="false" customHeight="true" outlineLevel="0" collapsed="false">
      <c r="B7" s="21" t="s">
        <v>660</v>
      </c>
      <c r="C7" s="39" t="n">
        <v>0.025</v>
      </c>
      <c r="F7" s="9" t="s">
        <v>661</v>
      </c>
    </row>
    <row r="8" customFormat="false" ht="15" hidden="false" customHeight="true" outlineLevel="0" collapsed="false">
      <c r="B8" s="13" t="s">
        <v>662</v>
      </c>
      <c r="C8" s="35" t="s">
        <v>459</v>
      </c>
    </row>
    <row r="9" customFormat="false" ht="15" hidden="false" customHeight="true" outlineLevel="0" collapsed="false">
      <c r="B9" s="21" t="s">
        <v>663</v>
      </c>
      <c r="C9" s="62" t="n">
        <f aca="false">C5*(1+IF(C8="A",C6,C7))</f>
        <v>0.0201</v>
      </c>
    </row>
    <row r="10" customFormat="false" ht="15" hidden="false" customHeight="true" outlineLevel="0" collapsed="false">
      <c r="B10" s="13" t="s">
        <v>664</v>
      </c>
      <c r="C10" s="65" t="n">
        <f aca="false">NORMSINV(C9)-NORMSINV(C5)</f>
        <v>0.00206097533312555</v>
      </c>
    </row>
    <row r="12" customFormat="false" ht="74.25" hidden="false" customHeight="true" outlineLevel="0" collapsed="false">
      <c r="B12" s="9" t="s">
        <v>665</v>
      </c>
    </row>
    <row r="16" customFormat="false" ht="15" hidden="false" customHeight="true" outlineLevel="0" collapsed="false">
      <c r="B16" s="4" t="s">
        <v>666</v>
      </c>
    </row>
    <row r="17" customFormat="false" ht="53.25" hidden="false" customHeight="true" outlineLevel="0" collapsed="false">
      <c r="B17" s="9" t="s">
        <v>667</v>
      </c>
    </row>
    <row r="19" customFormat="false" ht="84.75" hidden="false" customHeight="true" outlineLevel="0" collapsed="false">
      <c r="B19" s="9" t="s">
        <v>668</v>
      </c>
    </row>
    <row r="21" customFormat="false" ht="21.75" hidden="false" customHeight="true" outlineLevel="0" collapsed="false">
      <c r="B21" s="21" t="s">
        <v>669</v>
      </c>
      <c r="C21" s="47" t="n">
        <v>3000</v>
      </c>
      <c r="F21" s="9" t="s">
        <v>670</v>
      </c>
    </row>
    <row r="22" customFormat="false" ht="21.75" hidden="false" customHeight="true" outlineLevel="0" collapsed="false">
      <c r="B22" s="21" t="s">
        <v>671</v>
      </c>
      <c r="C22" s="60" t="n">
        <v>0.2</v>
      </c>
      <c r="F22" s="9" t="s">
        <v>672</v>
      </c>
    </row>
    <row r="23" customFormat="false" ht="15" hidden="false" customHeight="true" outlineLevel="0" collapsed="false">
      <c r="B23" s="21" t="s">
        <v>673</v>
      </c>
      <c r="C23" s="47" t="n">
        <v>15200</v>
      </c>
      <c r="F23" s="9" t="s">
        <v>674</v>
      </c>
    </row>
    <row r="24" customFormat="false" ht="15" hidden="false" customHeight="true" outlineLevel="0" collapsed="false">
      <c r="B24" s="13" t="s">
        <v>675</v>
      </c>
      <c r="C24" s="41" t="n">
        <f aca="false">C21*(1-C22)*1000/C23</f>
        <v>157.894736842105</v>
      </c>
    </row>
    <row r="25" customFormat="false" ht="42.75" hidden="false" customHeight="true" outlineLevel="0" collapsed="false">
      <c r="B25" s="21" t="s">
        <v>676</v>
      </c>
      <c r="C25" s="38" t="n">
        <v>0.57</v>
      </c>
      <c r="F25" s="9" t="s">
        <v>677</v>
      </c>
    </row>
    <row r="26" customFormat="false" ht="15" hidden="false" customHeight="true" outlineLevel="0" collapsed="false">
      <c r="B26" s="13" t="s">
        <v>678</v>
      </c>
      <c r="C26" s="41" t="n">
        <f aca="false">C24*C25</f>
        <v>90</v>
      </c>
    </row>
    <row r="28" customFormat="false" ht="32.25" hidden="false" customHeight="true" outlineLevel="0" collapsed="false">
      <c r="B28" s="9" t="s">
        <v>679</v>
      </c>
    </row>
    <row r="29" customFormat="false" ht="15" hidden="false" customHeight="true" outlineLevel="0" collapsed="false">
      <c r="B29" s="21" t="s">
        <v>680</v>
      </c>
      <c r="C29" s="47" t="n">
        <v>850</v>
      </c>
      <c r="F29" s="9" t="s">
        <v>681</v>
      </c>
    </row>
    <row r="30" customFormat="false" ht="21.75" hidden="false" customHeight="true" outlineLevel="0" collapsed="false">
      <c r="B30" s="21" t="s">
        <v>682</v>
      </c>
      <c r="C30" s="60" t="n">
        <v>0.12</v>
      </c>
      <c r="F30" s="9" t="s">
        <v>683</v>
      </c>
    </row>
    <row r="31" customFormat="false" ht="21.75" hidden="false" customHeight="true" outlineLevel="0" collapsed="false">
      <c r="B31" s="21" t="s">
        <v>684</v>
      </c>
      <c r="C31" s="38" t="n">
        <v>3</v>
      </c>
      <c r="F31" s="9" t="s">
        <v>685</v>
      </c>
    </row>
    <row r="32" customFormat="false" ht="15" hidden="false" customHeight="true" outlineLevel="0" collapsed="false">
      <c r="B32" s="13" t="s">
        <v>686</v>
      </c>
      <c r="C32" s="41" t="n">
        <f aca="false">IF(Sector_Master!$C$4="TURNOVER",C29*C30,C29*C30*C31)</f>
        <v>306</v>
      </c>
    </row>
    <row r="34" customFormat="false" ht="15" hidden="false" customHeight="true" outlineLevel="0" collapsed="false">
      <c r="B34" s="13" t="s">
        <v>687</v>
      </c>
      <c r="C34" s="66" t="n">
        <v>1</v>
      </c>
    </row>
    <row r="35" customFormat="false" ht="15" hidden="false" customHeight="true" outlineLevel="0" collapsed="false">
      <c r="B35" s="13" t="s">
        <v>688</v>
      </c>
      <c r="C35" s="41" t="n">
        <f aca="false">IF(C34=1,C26,C32)</f>
        <v>90</v>
      </c>
    </row>
    <row r="36" customFormat="false" ht="42.75" hidden="false" customHeight="true" outlineLevel="0" collapsed="false">
      <c r="B36" s="9" t="s">
        <v>689</v>
      </c>
    </row>
    <row r="39" customFormat="false" ht="15" hidden="false" customHeight="true" outlineLevel="0" collapsed="false">
      <c r="B39" s="4" t="s">
        <v>690</v>
      </c>
    </row>
    <row r="40" customFormat="false" ht="63.75" hidden="false" customHeight="true" outlineLevel="0" collapsed="false">
      <c r="B40" s="9" t="s">
        <v>691</v>
      </c>
    </row>
    <row r="42" customFormat="false" ht="15" hidden="false" customHeight="true" outlineLevel="0" collapsed="false">
      <c r="B42" s="21" t="s">
        <v>692</v>
      </c>
      <c r="C42" s="47" t="n">
        <v>100</v>
      </c>
    </row>
    <row r="43" customFormat="false" ht="15" hidden="false" customHeight="true" outlineLevel="0" collapsed="false">
      <c r="B43" s="21" t="s">
        <v>693</v>
      </c>
      <c r="C43" s="67" t="n">
        <v>0.8741</v>
      </c>
    </row>
    <row r="44" customFormat="false" ht="15" hidden="false" customHeight="true" outlineLevel="0" collapsed="false">
      <c r="B44" s="21" t="s">
        <v>694</v>
      </c>
      <c r="C44" s="37" t="n">
        <f aca="false">C42*C43</f>
        <v>87.41</v>
      </c>
    </row>
    <row r="45" customFormat="false" ht="32.25" hidden="false" customHeight="true" outlineLevel="0" collapsed="false">
      <c r="B45" s="21" t="s">
        <v>52</v>
      </c>
      <c r="C45" s="39" t="n">
        <v>0</v>
      </c>
      <c r="F45" s="9" t="s">
        <v>695</v>
      </c>
    </row>
    <row r="48" customFormat="false" ht="15" hidden="false" customHeight="true" outlineLevel="0" collapsed="false">
      <c r="B48" s="4" t="s">
        <v>696</v>
      </c>
    </row>
    <row r="49" customFormat="false" ht="15" hidden="false" customHeight="true" outlineLevel="0" collapsed="false">
      <c r="B49" s="21" t="s">
        <v>697</v>
      </c>
      <c r="C49" s="68" t="n">
        <f aca="false">C44*C35*(1-C45)/1000000</f>
        <v>0.0078669</v>
      </c>
    </row>
    <row r="50" customFormat="false" ht="15" hidden="false" customHeight="true" outlineLevel="0" collapsed="false">
      <c r="B50" s="13" t="s">
        <v>698</v>
      </c>
      <c r="C50" s="69" t="n">
        <f aca="false">C10/LN(1+C49)</f>
        <v>0.263009761023414</v>
      </c>
    </row>
    <row r="53" customFormat="false" ht="15" hidden="false" customHeight="true" outlineLevel="0" collapsed="false">
      <c r="B53" s="4" t="s">
        <v>699</v>
      </c>
    </row>
    <row r="54" customFormat="false" ht="31.5" hidden="false" customHeight="true" outlineLevel="0" collapsed="false">
      <c r="B54" s="6" t="s">
        <v>700</v>
      </c>
      <c r="C54" s="6" t="s">
        <v>701</v>
      </c>
      <c r="D54" s="6" t="s">
        <v>702</v>
      </c>
    </row>
    <row r="55" customFormat="false" ht="15" hidden="false" customHeight="true" outlineLevel="0" collapsed="false">
      <c r="B55" s="23" t="n">
        <v>50</v>
      </c>
      <c r="C55" s="33" t="n">
        <f aca="false">(NORMSINV($C$5*(1+$C$6))-NORMSINV($C$5))/LN(1+$C$44*B55*(1-$C$45)/1000000)</f>
        <v>0.472594853224457</v>
      </c>
      <c r="D55" s="33" t="n">
        <f aca="false">(NORMSINV($C$5*(1+$C$7))-NORMSINV($C$5))/LN(1+$C$44*B55*(1-$C$45)/1000000)</f>
        <v>2.34325999758484</v>
      </c>
    </row>
    <row r="56" customFormat="false" ht="15" hidden="false" customHeight="true" outlineLevel="0" collapsed="false">
      <c r="B56" s="23" t="n">
        <v>90</v>
      </c>
      <c r="C56" s="33" t="n">
        <f aca="false">(NORMSINV($C$5*(1+$C$6))-NORMSINV($C$5))/LN(1+$C$44*B56*(1-$C$45)/1000000)</f>
        <v>0.263009761023414</v>
      </c>
      <c r="D56" s="33" t="n">
        <f aca="false">(NORMSINV($C$5*(1+$C$7))-NORMSINV($C$5))/LN(1+$C$44*B56*(1-$C$45)/1000000)</f>
        <v>1.30407736727468</v>
      </c>
    </row>
    <row r="57" customFormat="false" ht="15" hidden="false" customHeight="true" outlineLevel="0" collapsed="false">
      <c r="B57" s="23" t="n">
        <v>150</v>
      </c>
      <c r="C57" s="33" t="n">
        <f aca="false">(NORMSINV($C$5*(1+$C$6))-NORMSINV($C$5))/LN(1+$C$44*B57*(1-$C$45)/1000000)</f>
        <v>0.158216621950155</v>
      </c>
      <c r="D57" s="33" t="n">
        <f aca="false">(NORMSINV($C$5*(1+$C$7))-NORMSINV($C$5))/LN(1+$C$44*B57*(1-$C$45)/1000000)</f>
        <v>0.78448311199174</v>
      </c>
    </row>
    <row r="58" customFormat="false" ht="15" hidden="false" customHeight="true" outlineLevel="0" collapsed="false">
      <c r="B58" s="23" t="n">
        <v>250</v>
      </c>
      <c r="C58" s="33" t="n">
        <f aca="false">(NORMSINV($C$5*(1+$C$6))-NORMSINV($C$5))/LN(1+$C$44*B58*(1-$C$45)/1000000)</f>
        <v>0.0953397979025859</v>
      </c>
      <c r="D58" s="33" t="n">
        <f aca="false">(NORMSINV($C$5*(1+$C$7))-NORMSINV($C$5))/LN(1+$C$44*B58*(1-$C$45)/1000000)</f>
        <v>0.472721895041135</v>
      </c>
    </row>
    <row r="59" customFormat="false" ht="15" hidden="false" customHeight="true" outlineLevel="0" collapsed="false">
      <c r="B59" s="23" t="n">
        <v>400</v>
      </c>
      <c r="C59" s="33" t="n">
        <f aca="false">(NORMSINV($C$5*(1+$C$6))-NORMSINV($C$5))/LN(1+$C$44*B59*(1-$C$45)/1000000)</f>
        <v>0.0599702247006808</v>
      </c>
      <c r="D59" s="33" t="n">
        <f aca="false">(NORMSINV($C$5*(1+$C$7))-NORMSINV($C$5))/LN(1+$C$44*B59*(1-$C$45)/1000000)</f>
        <v>0.297349468849457</v>
      </c>
    </row>
    <row r="61" customFormat="false" ht="74.25" hidden="false" customHeight="true" outlineLevel="0" collapsed="false">
      <c r="B61" s="9" t="s">
        <v>703</v>
      </c>
    </row>
    <row r="65" customFormat="false" ht="15" hidden="false" customHeight="true" outlineLevel="0" collapsed="false">
      <c r="B65" s="4" t="s">
        <v>704</v>
      </c>
    </row>
    <row r="66" customFormat="false" ht="15" hidden="false" customHeight="true" outlineLevel="0" collapsed="false">
      <c r="B66" s="21" t="s">
        <v>705</v>
      </c>
      <c r="C66" s="68" t="n">
        <f aca="false">C49</f>
        <v>0.0078669</v>
      </c>
    </row>
    <row r="67" customFormat="false" ht="15" hidden="false" customHeight="true" outlineLevel="0" collapsed="false">
      <c r="B67" s="21" t="s">
        <v>706</v>
      </c>
      <c r="C67" s="70" t="n">
        <f aca="false">MAX(StressedPD_Sector!O16:R25)</f>
        <v>1.02037884770977</v>
      </c>
    </row>
    <row r="68" customFormat="false" ht="15" hidden="false" customHeight="true" outlineLevel="0" collapsed="false">
      <c r="B68" s="13" t="s">
        <v>707</v>
      </c>
      <c r="C68" s="71" t="n">
        <f aca="false">IF(C66=0,0,C67/C66)</f>
        <v>129.705328364384</v>
      </c>
    </row>
    <row r="69" customFormat="false" ht="32.25" hidden="false" customHeight="true" outlineLevel="0" collapsed="false">
      <c r="B69" s="9" t="s">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J6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34"/>
    <col collapsed="false" customWidth="true" hidden="false" outlineLevel="0" max="7" min="4" style="1" width="13"/>
    <col collapsed="false" customWidth="true" hidden="false" outlineLevel="0" max="9" min="8" style="1" width="40"/>
    <col collapsed="false" customWidth="true" hidden="false" outlineLevel="0" max="10" min="10" style="1" width="13"/>
  </cols>
  <sheetData>
    <row r="1" customFormat="false" ht="21.75" hidden="false" customHeight="true" outlineLevel="0" collapsed="false">
      <c r="B1" s="2" t="s">
        <v>709</v>
      </c>
      <c r="C1" s="3"/>
      <c r="D1" s="3"/>
      <c r="E1" s="3"/>
      <c r="F1" s="3"/>
      <c r="G1" s="3"/>
      <c r="H1" s="3"/>
      <c r="I1" s="3"/>
      <c r="J1" s="3"/>
    </row>
    <row r="2" customFormat="false" ht="512.25" hidden="false" customHeight="true" outlineLevel="0" collapsed="false">
      <c r="B2" s="9" t="s">
        <v>710</v>
      </c>
    </row>
    <row r="4" customFormat="false" ht="15" hidden="false" customHeight="true" outlineLevel="0" collapsed="false">
      <c r="B4" s="4" t="s">
        <v>711</v>
      </c>
    </row>
    <row r="5" customFormat="false" ht="31.5" hidden="false" customHeight="true" outlineLevel="0" collapsed="false">
      <c r="B5" s="6" t="s">
        <v>24</v>
      </c>
      <c r="C5" s="6" t="s">
        <v>712</v>
      </c>
      <c r="D5" s="6" t="s">
        <v>419</v>
      </c>
      <c r="E5" s="6" t="s">
        <v>713</v>
      </c>
      <c r="F5" s="6" t="s">
        <v>714</v>
      </c>
      <c r="G5" s="6" t="s">
        <v>715</v>
      </c>
      <c r="H5" s="6" t="s">
        <v>716</v>
      </c>
      <c r="I5" s="6" t="s">
        <v>717</v>
      </c>
      <c r="J5" s="6" t="s">
        <v>718</v>
      </c>
    </row>
    <row r="6" customFormat="false" ht="48" hidden="false" customHeight="true" outlineLevel="0" collapsed="false">
      <c r="B6" s="13" t="s">
        <v>28</v>
      </c>
      <c r="C6" s="21" t="s">
        <v>719</v>
      </c>
      <c r="D6" s="64" t="n">
        <v>0.02</v>
      </c>
      <c r="E6" s="39" t="n">
        <v>0.005</v>
      </c>
      <c r="F6" s="72" t="n">
        <f aca="false">D6*(1+E6)</f>
        <v>0.0201</v>
      </c>
      <c r="G6" s="68" t="n">
        <f aca="false">NORMSINV(F6)-NORMSINV(D6)</f>
        <v>0.00206097533312555</v>
      </c>
      <c r="H6" s="15" t="s">
        <v>720</v>
      </c>
      <c r="I6" s="15" t="s">
        <v>721</v>
      </c>
      <c r="J6" s="13" t="s">
        <v>722</v>
      </c>
    </row>
    <row r="7" customFormat="false" ht="48" hidden="false" customHeight="true" outlineLevel="0" collapsed="false">
      <c r="B7" s="13" t="s">
        <v>32</v>
      </c>
      <c r="C7" s="21" t="s">
        <v>723</v>
      </c>
      <c r="D7" s="64" t="n">
        <v>0.02</v>
      </c>
      <c r="E7" s="39" t="n">
        <v>0.02</v>
      </c>
      <c r="F7" s="72" t="n">
        <f aca="false">D7*(1+E7)</f>
        <v>0.0204</v>
      </c>
      <c r="G7" s="68" t="n">
        <f aca="false">NORMSINV(F7)-NORMSINV(D7)</f>
        <v>0.00819215686318886</v>
      </c>
      <c r="H7" s="15" t="s">
        <v>724</v>
      </c>
      <c r="I7" s="15" t="s">
        <v>725</v>
      </c>
      <c r="J7" s="13" t="s">
        <v>722</v>
      </c>
    </row>
    <row r="8" customFormat="false" ht="48" hidden="false" customHeight="true" outlineLevel="0" collapsed="false">
      <c r="B8" s="13" t="s">
        <v>35</v>
      </c>
      <c r="C8" s="21" t="s">
        <v>726</v>
      </c>
      <c r="D8" s="64" t="n">
        <v>0.02</v>
      </c>
      <c r="E8" s="39" t="n">
        <v>1.5</v>
      </c>
      <c r="F8" s="72" t="n">
        <f aca="false">D8*(1+E8)</f>
        <v>0.05</v>
      </c>
      <c r="G8" s="68" t="n">
        <f aca="false">NORMSINV(F8)-NORMSINV(D8)</f>
        <v>0.40889528368035</v>
      </c>
      <c r="H8" s="15" t="s">
        <v>727</v>
      </c>
      <c r="I8" s="15" t="s">
        <v>728</v>
      </c>
      <c r="J8" s="73" t="s">
        <v>729</v>
      </c>
    </row>
    <row r="9" customFormat="false" ht="33.75" hidden="false" customHeight="true" outlineLevel="0" collapsed="false">
      <c r="B9" s="13" t="s">
        <v>39</v>
      </c>
      <c r="C9" s="21" t="s">
        <v>730</v>
      </c>
      <c r="D9" s="64" t="n">
        <v>0.02</v>
      </c>
      <c r="E9" s="39" t="n">
        <v>1</v>
      </c>
      <c r="F9" s="72" t="n">
        <f aca="false">D9*(1+E9)</f>
        <v>0.04</v>
      </c>
      <c r="G9" s="68" t="n">
        <f aca="false">NORMSINV(F9)-NORMSINV(D9)</f>
        <v>0.303062839379653</v>
      </c>
      <c r="H9" s="15" t="s">
        <v>731</v>
      </c>
      <c r="I9" s="15" t="s">
        <v>732</v>
      </c>
      <c r="J9" s="73" t="s">
        <v>729</v>
      </c>
    </row>
    <row r="11" customFormat="false" ht="429" hidden="false" customHeight="true" outlineLevel="0" collapsed="false">
      <c r="B11" s="9" t="s">
        <v>733</v>
      </c>
    </row>
    <row r="14" customFormat="false" ht="15" hidden="false" customHeight="true" outlineLevel="0" collapsed="false">
      <c r="B14" s="4" t="s">
        <v>734</v>
      </c>
    </row>
    <row r="15" customFormat="false" ht="480.75" hidden="false" customHeight="true" outlineLevel="0" collapsed="false">
      <c r="B15" s="9" t="s">
        <v>735</v>
      </c>
    </row>
    <row r="17" customFormat="false" ht="15" hidden="false" customHeight="true" outlineLevel="0" collapsed="false">
      <c r="B17" s="13" t="s">
        <v>736</v>
      </c>
      <c r="C17" s="38" t="n">
        <v>0</v>
      </c>
    </row>
    <row r="18" customFormat="false" ht="15" hidden="false" customHeight="true" outlineLevel="0" collapsed="false">
      <c r="B18" s="21" t="s">
        <v>737</v>
      </c>
      <c r="C18" s="70" t="n">
        <f aca="false">EU_k_Calibration!C49</f>
        <v>0.0078669</v>
      </c>
    </row>
    <row r="19" customFormat="false" ht="15" hidden="false" customHeight="true" outlineLevel="0" collapsed="false">
      <c r="B19" s="21" t="s">
        <v>738</v>
      </c>
      <c r="C19" s="68" t="n">
        <f aca="false">IF(ABS($C$17)&lt;0.000000000001,LN(1+C18),((1+C18)^$C$17-1)/$C$17)</f>
        <v>0.00783611727985288</v>
      </c>
    </row>
    <row r="20" customFormat="false" ht="15" hidden="false" customHeight="true" outlineLevel="0" collapsed="false">
      <c r="B20" s="13" t="s">
        <v>739</v>
      </c>
      <c r="C20" s="69" t="n">
        <f aca="false">G6/C19</f>
        <v>0.263009761023414</v>
      </c>
    </row>
    <row r="23" customFormat="false" ht="15" hidden="false" customHeight="true" outlineLevel="0" collapsed="false">
      <c r="B23" s="4" t="s">
        <v>740</v>
      </c>
    </row>
    <row r="24" customFormat="false" ht="15" hidden="false" customHeight="true" outlineLevel="0" collapsed="false">
      <c r="B24" s="21" t="s">
        <v>741</v>
      </c>
      <c r="C24" s="58" t="n">
        <f aca="false">G7/G6</f>
        <v>3.97489321270291</v>
      </c>
    </row>
    <row r="25" customFormat="false" ht="15" hidden="false" customHeight="true" outlineLevel="0" collapsed="false">
      <c r="B25" s="13" t="s">
        <v>742</v>
      </c>
      <c r="C25" s="74" t="n">
        <f aca="false">IFERROR(IF(ABS($C$17)&lt;0.000000000001,(EXP($C$19*C24)-1)/$C$18,((1+$C$17*$C$19*C24)^(1/$C$17)-1)/$C$18),"n/a")</f>
        <v>4.02164713756821</v>
      </c>
    </row>
    <row r="26" customFormat="false" ht="522.75" hidden="false" customHeight="true" outlineLevel="0" collapsed="false">
      <c r="B26" s="9" t="s">
        <v>743</v>
      </c>
    </row>
    <row r="29" customFormat="false" ht="429" hidden="false" customHeight="true" outlineLevel="0" collapsed="false">
      <c r="B29" s="9" t="s">
        <v>744</v>
      </c>
    </row>
    <row r="32" customFormat="false" ht="575.25" hidden="false" customHeight="true" outlineLevel="0" collapsed="false">
      <c r="B32" s="9" t="s">
        <v>745</v>
      </c>
    </row>
    <row r="36" customFormat="false" ht="15" hidden="false" customHeight="true" outlineLevel="0" collapsed="false">
      <c r="B36" s="4" t="s">
        <v>746</v>
      </c>
    </row>
    <row r="37" customFormat="false" ht="15" hidden="false" customHeight="true" outlineLevel="0" collapsed="false">
      <c r="B37" s="21" t="s">
        <v>747</v>
      </c>
      <c r="C37" s="48" t="n">
        <f aca="false">G8/G6</f>
        <v>198.39892166989</v>
      </c>
    </row>
    <row r="38" customFormat="false" ht="15" hidden="false" customHeight="true" outlineLevel="0" collapsed="false">
      <c r="B38" s="13" t="s">
        <v>748</v>
      </c>
      <c r="C38" s="71" t="n">
        <f aca="false">IFERROR(IF(ABS($C$17)&lt;0.000000000001,(EXP($C$19*C37)-1)/$C$18,((1+$C$17*$C$19*C37)^(1/$C$17)-1)/$C$18),"unreachable at this theta")</f>
        <v>474.590801078599</v>
      </c>
    </row>
    <row r="39" customFormat="false" ht="63.75" hidden="false" customHeight="true" outlineLevel="0" collapsed="false">
      <c r="B39" s="21" t="s">
        <v>749</v>
      </c>
      <c r="C39" s="59" t="n">
        <v>10</v>
      </c>
      <c r="H39" s="9" t="s">
        <v>750</v>
      </c>
    </row>
    <row r="40" customFormat="false" ht="15" hidden="false" customHeight="true" outlineLevel="0" collapsed="false">
      <c r="B40" s="13" t="s">
        <v>751</v>
      </c>
      <c r="C40" s="71" t="n">
        <f aca="false">IFERROR(C38/C39,"n/a")</f>
        <v>47.4590801078599</v>
      </c>
    </row>
    <row r="41" customFormat="false" ht="15" hidden="false" customHeight="true" outlineLevel="0" collapsed="false">
      <c r="B41" s="13" t="s">
        <v>752</v>
      </c>
      <c r="C41" s="73" t="str">
        <f aca="false">IF(NOT(ISNUMBER(C38)),"REJECTED - form cannot reach the coal anchor at any intensity",IF(C40&gt;3,"REJECTED - coal response is not a Scope 1 cost response","consistent"))</f>
        <v>REJECTED - coal response is not a Scope 1 cost response</v>
      </c>
    </row>
    <row r="42" customFormat="false" ht="825.75" hidden="false" customHeight="true" outlineLevel="0" collapsed="false">
      <c r="B42" s="9" t="s">
        <v>753</v>
      </c>
    </row>
    <row r="46" customFormat="false" ht="15" hidden="false" customHeight="true" outlineLevel="0" collapsed="false">
      <c r="B46" s="4" t="s">
        <v>754</v>
      </c>
    </row>
    <row r="47" customFormat="false" ht="15" hidden="false" customHeight="true" outlineLevel="0" collapsed="false">
      <c r="B47" s="21" t="s">
        <v>755</v>
      </c>
      <c r="C47" s="70" t="n">
        <f aca="false">MAX(StressedPD_Sector!O16:R25)</f>
        <v>1.02037884770977</v>
      </c>
    </row>
    <row r="48" customFormat="false" ht="31.5" hidden="false" customHeight="true" outlineLevel="0" collapsed="false">
      <c r="B48" s="6" t="s">
        <v>756</v>
      </c>
      <c r="C48" s="6" t="s">
        <v>757</v>
      </c>
      <c r="D48" s="6" t="s">
        <v>758</v>
      </c>
      <c r="E48" s="6" t="s">
        <v>759</v>
      </c>
      <c r="F48" s="6" t="s">
        <v>760</v>
      </c>
      <c r="G48" s="6" t="s">
        <v>761</v>
      </c>
      <c r="H48" s="6" t="s">
        <v>762</v>
      </c>
    </row>
    <row r="49" customFormat="false" ht="15" hidden="false" customHeight="true" outlineLevel="0" collapsed="false">
      <c r="B49" s="43" t="n">
        <v>1</v>
      </c>
      <c r="C49" s="21" t="s">
        <v>763</v>
      </c>
      <c r="D49" s="33" t="n">
        <f aca="false">$G$6/IF(ABS(B49)&lt;0.000000000001,LN(1+$C$18),((1+$C$18)^B49-1)/B49)</f>
        <v>0.261980619192509</v>
      </c>
      <c r="E49" s="43" t="n">
        <f aca="false">IFERROR(IF(ABS(B49)&lt;0.000000000001,(EXP(IF(ABS(B49)&lt;0.000000000001,LN(1+$C$18),((1+$C$18)^B49-1)/B49)*$C$24)-1)/$C$18,((1+B49*IF(ABS(B49)&lt;0.000000000001,LN(1+$C$18),((1+$C$18)^B49-1)/B49)*$C$24)^(1/B49)-1)/$C$18),"n/a")</f>
        <v>3.9748932127029</v>
      </c>
      <c r="F49" s="33" t="n">
        <f aca="false">D49*IF(ABS(B49)&lt;0.000000000001,LN(1+$C$47),((1+$C$47)^B49-1)/B49)</f>
        <v>0.267319482333944</v>
      </c>
      <c r="G49" s="72" t="n">
        <f aca="false">NORMSDIST(NORMSINV(0.02)+F49)</f>
        <v>0.0370148771501686</v>
      </c>
      <c r="H49" s="30" t="n">
        <f aca="false">G49/0.02</f>
        <v>1.85074385750843</v>
      </c>
    </row>
    <row r="50" customFormat="false" ht="15" hidden="false" customHeight="true" outlineLevel="0" collapsed="false">
      <c r="B50" s="43" t="n">
        <v>0.5</v>
      </c>
      <c r="C50" s="21"/>
      <c r="D50" s="33" t="n">
        <f aca="false">$G$6/IF(ABS(B50)&lt;0.000000000001,LN(1+$C$18),((1+$C$18)^B50-1)/B50)</f>
        <v>0.262494853649308</v>
      </c>
      <c r="E50" s="43" t="n">
        <f aca="false">IFERROR(IF(ABS(B50)&lt;0.000000000001,(EXP(IF(ABS(B50)&lt;0.000000000001,LN(1+$C$18),((1+$C$18)^B50-1)/B50)*$C$24)-1)/$C$18,((1+B50*IF(ABS(B50)&lt;0.000000000001,LN(1+$C$18),((1+$C$18)^B50-1)/B50)*$C$24)^(1/B50)-1)/$C$18),"n/a")</f>
        <v>3.99805847525645</v>
      </c>
      <c r="F50" s="33" t="n">
        <f aca="false">D50*IF(ABS(B50)&lt;0.000000000001,LN(1+$C$47),((1+$C$47)^B50-1)/B50)</f>
        <v>0.221230826592052</v>
      </c>
      <c r="G50" s="72" t="n">
        <f aca="false">NORMSDIST(NORMSINV(0.02)+F50)</f>
        <v>0.0334371349979974</v>
      </c>
      <c r="H50" s="30" t="n">
        <f aca="false">G50/0.02</f>
        <v>1.67185674989987</v>
      </c>
    </row>
    <row r="51" customFormat="false" ht="15" hidden="false" customHeight="true" outlineLevel="0" collapsed="false">
      <c r="B51" s="43" t="n">
        <v>0</v>
      </c>
      <c r="C51" s="21" t="s">
        <v>764</v>
      </c>
      <c r="D51" s="33" t="n">
        <f aca="false">$G$6/IF(ABS(B51)&lt;0.000000000001,LN(1+$C$18),((1+$C$18)^B51-1)/B51)</f>
        <v>0.263009761023414</v>
      </c>
      <c r="E51" s="43" t="n">
        <f aca="false">IFERROR(IF(ABS(B51)&lt;0.000000000001,(EXP(IF(ABS(B51)&lt;0.000000000001,LN(1+$C$18),((1+$C$18)^B51-1)/B51)*$C$24)-1)/$C$18,((1+B51*IF(ABS(B51)&lt;0.000000000001,LN(1+$C$18),((1+$C$18)^B51-1)/B51)*$C$24)^(1/B51)-1)/$C$18),"n/a")</f>
        <v>4.02164713756821</v>
      </c>
      <c r="F51" s="33" t="n">
        <f aca="false">D51*IF(ABS(B51)&lt;0.000000000001,LN(1+$C$47),((1+$C$47)^B51-1)/B51)</f>
        <v>0.184970830880176</v>
      </c>
      <c r="G51" s="72" t="n">
        <f aca="false">NORMSDIST(NORMSINV(0.02)+F51)</f>
        <v>0.0308268478830363</v>
      </c>
      <c r="H51" s="30" t="n">
        <f aca="false">G51/0.02</f>
        <v>1.54134239415181</v>
      </c>
    </row>
    <row r="52" customFormat="false" ht="15" hidden="false" customHeight="true" outlineLevel="0" collapsed="false">
      <c r="B52" s="43" t="n">
        <v>-0.5</v>
      </c>
      <c r="C52" s="21"/>
      <c r="D52" s="33" t="n">
        <f aca="false">$G$6/IF(ABS(B52)&lt;0.000000000001,LN(1+$C$18),((1+$C$18)^B52-1)/B52)</f>
        <v>0.263525341315868</v>
      </c>
      <c r="E52" s="43" t="n">
        <f aca="false">IFERROR(IF(ABS(B52)&lt;0.000000000001,(EXP(IF(ABS(B52)&lt;0.000000000001,LN(1+$C$18),((1+$C$18)^B52-1)/B52)*$C$24)-1)/$C$18,((1+B52*IF(ABS(B52)&lt;0.000000000001,LN(1+$C$18),((1+$C$18)^B52-1)/B52)*$C$24)^(1/B52)-1)/$C$18),"n/a")</f>
        <v>4.04567229869439</v>
      </c>
      <c r="F52" s="33" t="n">
        <f aca="false">D52*IF(ABS(B52)&lt;0.000000000001,LN(1+$C$47),((1+$C$47)^B52-1)/B52)</f>
        <v>0.156253885921086</v>
      </c>
      <c r="G52" s="72" t="n">
        <f aca="false">NORMSDIST(NORMSINV(0.02)+F52)</f>
        <v>0.0288813174054893</v>
      </c>
      <c r="H52" s="30" t="n">
        <f aca="false">G52/0.02</f>
        <v>1.44406587027446</v>
      </c>
    </row>
    <row r="53" customFormat="false" ht="15" hidden="false" customHeight="true" outlineLevel="0" collapsed="false">
      <c r="B53" s="43" t="n">
        <v>-1</v>
      </c>
      <c r="C53" s="21" t="s">
        <v>765</v>
      </c>
      <c r="D53" s="33" t="n">
        <f aca="false">$G$6/IF(ABS(B53)&lt;0.000000000001,LN(1+$C$18),((1+$C$18)^B53-1)/B53)</f>
        <v>0.264041594525634</v>
      </c>
      <c r="E53" s="43" t="n">
        <f aca="false">IFERROR(IF(ABS(B53)&lt;0.000000000001,(EXP(IF(ABS(B53)&lt;0.000000000001,LN(1+$C$18),((1+$C$18)^B53-1)/B53)*$C$24)-1)/$C$18,((1+B53*IF(ABS(B53)&lt;0.000000000001,LN(1+$C$18),((1+$C$18)^B53-1)/B53)*$C$24)^(1/B53)-1)/$C$18),"n/a")</f>
        <v>4.07014764074605</v>
      </c>
      <c r="F53" s="33" t="n">
        <f aca="false">D53*IF(ABS(B53)&lt;0.000000000001,LN(1+$C$47),((1+$C$47)^B53-1)/B53)</f>
        <v>0.133352444406615</v>
      </c>
      <c r="G53" s="72" t="n">
        <f aca="false">NORMSDIST(NORMSINV(0.02)+F53)</f>
        <v>0.0274039197887673</v>
      </c>
      <c r="H53" s="30" t="n">
        <f aca="false">G53/0.02</f>
        <v>1.37019598943836</v>
      </c>
    </row>
    <row r="55" customFormat="false" ht="732" hidden="false" customHeight="true" outlineLevel="0" collapsed="false">
      <c r="B55" s="9" t="s">
        <v>766</v>
      </c>
    </row>
    <row r="59" customFormat="false" ht="15" hidden="false" customHeight="true" outlineLevel="0" collapsed="false">
      <c r="B59" s="4" t="s">
        <v>767</v>
      </c>
    </row>
    <row r="60" customFormat="false" ht="15" hidden="false" customHeight="true" outlineLevel="0" collapsed="false">
      <c r="B60" s="13" t="s">
        <v>768</v>
      </c>
      <c r="C60" s="38" t="n">
        <v>999</v>
      </c>
    </row>
    <row r="61" customFormat="false" ht="15" hidden="false" customHeight="true" outlineLevel="0" collapsed="false">
      <c r="B61" s="21" t="s">
        <v>769</v>
      </c>
      <c r="C61" s="49" t="n">
        <f aca="false">COUNTIF(StressedPD_Sector!O16:R25,"&gt;="&amp;C60)</f>
        <v>0</v>
      </c>
    </row>
    <row r="62" customFormat="false" ht="836.25" hidden="false" customHeight="true" outlineLevel="0" collapsed="false">
      <c r="B62" s="9" t="s">
        <v>770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L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32"/>
    <col collapsed="false" customWidth="true" hidden="false" outlineLevel="0" max="4" min="4" style="1" width="13"/>
    <col collapsed="false" customWidth="true" hidden="false" outlineLevel="0" max="5" min="5" style="1" width="6"/>
    <col collapsed="false" customWidth="true" hidden="false" outlineLevel="0" max="8" min="6" style="1" width="9"/>
    <col collapsed="false" customWidth="true" hidden="false" outlineLevel="0" max="11" min="9" style="1" width="8"/>
    <col collapsed="false" customWidth="true" hidden="false" outlineLevel="0" max="12" min="12" style="1" width="82"/>
  </cols>
  <sheetData>
    <row r="1" customFormat="false" ht="21.75" hidden="false" customHeight="true" outlineLevel="0" collapsed="false">
      <c r="B1" s="2" t="s">
        <v>771</v>
      </c>
      <c r="C1" s="3"/>
      <c r="D1" s="3"/>
      <c r="E1" s="3"/>
      <c r="F1" s="3"/>
      <c r="G1" s="3"/>
      <c r="H1" s="3"/>
      <c r="I1" s="3"/>
      <c r="J1" s="3"/>
      <c r="K1" s="3"/>
      <c r="L1" s="3"/>
    </row>
    <row r="2" customFormat="false" ht="408" hidden="false" customHeight="true" outlineLevel="0" collapsed="false">
      <c r="B2" s="9" t="s">
        <v>772</v>
      </c>
    </row>
    <row r="4" customFormat="false" ht="31.5" hidden="false" customHeight="true" outlineLevel="0" collapsed="false">
      <c r="B4" s="6" t="s">
        <v>24</v>
      </c>
      <c r="C4" s="6" t="s">
        <v>773</v>
      </c>
      <c r="D4" s="6" t="s">
        <v>757</v>
      </c>
      <c r="E4" s="6" t="s">
        <v>774</v>
      </c>
      <c r="F4" s="6" t="s">
        <v>775</v>
      </c>
      <c r="G4" s="6" t="s">
        <v>776</v>
      </c>
      <c r="H4" s="6" t="s">
        <v>777</v>
      </c>
      <c r="I4" s="6" t="s">
        <v>778</v>
      </c>
      <c r="J4" s="6" t="s">
        <v>779</v>
      </c>
      <c r="K4" s="6" t="s">
        <v>780</v>
      </c>
      <c r="L4" s="6" t="s">
        <v>781</v>
      </c>
    </row>
    <row r="5" customFormat="false" ht="24" hidden="false" customHeight="true" outlineLevel="0" collapsed="false">
      <c r="B5" s="21" t="s">
        <v>782</v>
      </c>
      <c r="C5" s="21" t="s">
        <v>783</v>
      </c>
      <c r="D5" s="21" t="s">
        <v>784</v>
      </c>
      <c r="E5" s="21" t="n">
        <v>11</v>
      </c>
      <c r="F5" s="58" t="n">
        <v>0.028</v>
      </c>
      <c r="G5" s="58" t="n">
        <v>-0.079</v>
      </c>
      <c r="H5" s="58" t="n">
        <v>-0.984</v>
      </c>
      <c r="I5" s="58" t="n">
        <v>-0.51</v>
      </c>
      <c r="J5" s="58" t="n">
        <v>0.62</v>
      </c>
      <c r="K5" s="58" t="n">
        <v>0.16</v>
      </c>
      <c r="L5" s="8" t="s">
        <v>785</v>
      </c>
    </row>
    <row r="6" customFormat="false" ht="24" hidden="false" customHeight="true" outlineLevel="0" collapsed="false">
      <c r="B6" s="21" t="s">
        <v>786</v>
      </c>
      <c r="C6" s="21" t="s">
        <v>787</v>
      </c>
      <c r="D6" s="21" t="s">
        <v>784</v>
      </c>
      <c r="E6" s="21" t="n">
        <v>11</v>
      </c>
      <c r="F6" s="58" t="n">
        <v>0.1</v>
      </c>
      <c r="G6" s="58" t="n">
        <v>0</v>
      </c>
      <c r="H6" s="58" t="n">
        <v>-1.761</v>
      </c>
      <c r="I6" s="58" t="n">
        <v>-1</v>
      </c>
      <c r="J6" s="58" t="n">
        <v>0.344</v>
      </c>
      <c r="K6" s="58" t="n">
        <v>0.29</v>
      </c>
      <c r="L6" s="8" t="s">
        <v>788</v>
      </c>
    </row>
    <row r="7" customFormat="false" ht="24" hidden="false" customHeight="true" outlineLevel="0" collapsed="false">
      <c r="B7" s="21" t="s">
        <v>789</v>
      </c>
      <c r="C7" s="21" t="s">
        <v>790</v>
      </c>
      <c r="D7" s="21" t="s">
        <v>784</v>
      </c>
      <c r="E7" s="21" t="n">
        <v>11</v>
      </c>
      <c r="F7" s="58" t="n">
        <v>0.206</v>
      </c>
      <c r="G7" s="58" t="n">
        <v>0.118</v>
      </c>
      <c r="H7" s="58" t="n">
        <v>-2.184</v>
      </c>
      <c r="I7" s="58" t="n">
        <v>-1.53</v>
      </c>
      <c r="J7" s="58" t="n">
        <v>0.161</v>
      </c>
      <c r="K7" s="58" t="n">
        <v>0.38</v>
      </c>
      <c r="L7" s="8" t="s">
        <v>788</v>
      </c>
    </row>
    <row r="8" customFormat="false" ht="24" hidden="false" customHeight="true" outlineLevel="0" collapsed="false">
      <c r="B8" s="21" t="s">
        <v>791</v>
      </c>
      <c r="C8" s="21" t="s">
        <v>792</v>
      </c>
      <c r="D8" s="21" t="s">
        <v>784</v>
      </c>
      <c r="E8" s="21" t="n">
        <v>11</v>
      </c>
      <c r="F8" s="58" t="n">
        <v>0.102</v>
      </c>
      <c r="G8" s="58" t="n">
        <v>0.002</v>
      </c>
      <c r="H8" s="58" t="n">
        <v>-2.385</v>
      </c>
      <c r="I8" s="58" t="n">
        <v>-1.01</v>
      </c>
      <c r="J8" s="58" t="n">
        <v>0.338</v>
      </c>
      <c r="K8" s="58" t="n">
        <v>0.21</v>
      </c>
      <c r="L8" s="8" t="s">
        <v>788</v>
      </c>
    </row>
    <row r="9" customFormat="false" ht="24" hidden="false" customHeight="true" outlineLevel="0" collapsed="false">
      <c r="B9" s="21" t="s">
        <v>793</v>
      </c>
      <c r="C9" s="21" t="s">
        <v>794</v>
      </c>
      <c r="D9" s="21" t="s">
        <v>784</v>
      </c>
      <c r="E9" s="21" t="n">
        <v>11</v>
      </c>
      <c r="F9" s="58" t="n">
        <v>0.236</v>
      </c>
      <c r="G9" s="58" t="n">
        <v>0.151</v>
      </c>
      <c r="H9" s="58" t="n">
        <v>-3.128</v>
      </c>
      <c r="I9" s="58" t="n">
        <v>-1.67</v>
      </c>
      <c r="J9" s="58" t="n">
        <v>0.13</v>
      </c>
      <c r="K9" s="58" t="n">
        <v>0.37</v>
      </c>
      <c r="L9" s="8" t="s">
        <v>788</v>
      </c>
    </row>
    <row r="10" customFormat="false" ht="24" hidden="false" customHeight="true" outlineLevel="0" collapsed="false">
      <c r="B10" s="21" t="s">
        <v>795</v>
      </c>
      <c r="C10" s="21" t="s">
        <v>796</v>
      </c>
      <c r="D10" s="21" t="s">
        <v>784</v>
      </c>
      <c r="E10" s="21" t="n">
        <v>11</v>
      </c>
      <c r="F10" s="58" t="n">
        <v>0.277</v>
      </c>
      <c r="G10" s="58" t="n">
        <v>0.197</v>
      </c>
      <c r="H10" s="58" t="n">
        <v>-4.62</v>
      </c>
      <c r="I10" s="58" t="n">
        <v>-1.86</v>
      </c>
      <c r="J10" s="58" t="n">
        <v>0.096</v>
      </c>
      <c r="K10" s="58" t="n">
        <v>0.23</v>
      </c>
      <c r="L10" s="8" t="s">
        <v>797</v>
      </c>
    </row>
    <row r="11" customFormat="false" ht="24" hidden="false" customHeight="true" outlineLevel="0" collapsed="false">
      <c r="B11" s="21" t="s">
        <v>798</v>
      </c>
      <c r="C11" s="21" t="s">
        <v>799</v>
      </c>
      <c r="D11" s="21" t="s">
        <v>784</v>
      </c>
      <c r="E11" s="21" t="n">
        <v>11</v>
      </c>
      <c r="F11" s="58" t="n">
        <v>0.114</v>
      </c>
      <c r="G11" s="58" t="n">
        <v>-0.108</v>
      </c>
      <c r="H11" s="58" t="n">
        <v>-0.698</v>
      </c>
      <c r="I11" s="58" t="n">
        <v>-0.35</v>
      </c>
      <c r="J11" s="58" t="n">
        <v>0.732</v>
      </c>
      <c r="K11" s="58" t="n">
        <v>0.25</v>
      </c>
      <c r="L11" s="8" t="s">
        <v>800</v>
      </c>
    </row>
    <row r="12" customFormat="false" ht="36" hidden="false" customHeight="true" outlineLevel="0" collapsed="false">
      <c r="B12" s="75" t="s">
        <v>801</v>
      </c>
      <c r="C12" s="75" t="s">
        <v>802</v>
      </c>
      <c r="D12" s="75" t="s">
        <v>803</v>
      </c>
      <c r="E12" s="75" t="n">
        <v>10</v>
      </c>
      <c r="F12" s="76" t="n">
        <v>0.28</v>
      </c>
      <c r="G12" s="76" t="n">
        <v>0.19</v>
      </c>
      <c r="H12" s="76" t="n">
        <v>-0.952</v>
      </c>
      <c r="I12" s="76" t="n">
        <v>-1.76</v>
      </c>
      <c r="J12" s="76" t="n">
        <v>0.116</v>
      </c>
      <c r="K12" s="76" t="n">
        <v>1.886</v>
      </c>
      <c r="L12" s="77" t="s">
        <v>804</v>
      </c>
    </row>
    <row r="13" customFormat="false" ht="24" hidden="false" customHeight="true" outlineLevel="0" collapsed="false">
      <c r="B13" s="21" t="s">
        <v>805</v>
      </c>
      <c r="C13" s="21" t="s">
        <v>806</v>
      </c>
      <c r="D13" s="21" t="s">
        <v>803</v>
      </c>
      <c r="E13" s="21" t="n">
        <v>10</v>
      </c>
      <c r="F13" s="58" t="n">
        <v>0.044</v>
      </c>
      <c r="G13" s="58" t="n">
        <v>-0.076</v>
      </c>
      <c r="H13" s="58" t="n">
        <v>-0.376</v>
      </c>
      <c r="I13" s="58" t="n">
        <v>-0.6</v>
      </c>
      <c r="J13" s="58" t="n">
        <v>0.562</v>
      </c>
      <c r="K13" s="58" t="n">
        <v>1.09</v>
      </c>
      <c r="L13" s="8" t="s">
        <v>807</v>
      </c>
    </row>
    <row r="14" customFormat="false" ht="24" hidden="false" customHeight="true" outlineLevel="0" collapsed="false">
      <c r="B14" s="21" t="s">
        <v>414</v>
      </c>
      <c r="C14" s="21" t="s">
        <v>808</v>
      </c>
      <c r="D14" s="21" t="s">
        <v>803</v>
      </c>
      <c r="E14" s="21" t="n">
        <v>10</v>
      </c>
      <c r="F14" s="58" t="n">
        <v>0.227</v>
      </c>
      <c r="G14" s="58" t="n">
        <v>0.131</v>
      </c>
      <c r="H14" s="58" t="n">
        <v>-1.108</v>
      </c>
      <c r="I14" s="58" t="n">
        <v>-1.53</v>
      </c>
      <c r="J14" s="58" t="n">
        <v>0.163</v>
      </c>
      <c r="K14" s="58" t="n">
        <v>1.58</v>
      </c>
      <c r="L14" s="8" t="s">
        <v>809</v>
      </c>
    </row>
    <row r="15" customFormat="false" ht="24" hidden="false" customHeight="true" outlineLevel="0" collapsed="false">
      <c r="B15" s="21" t="s">
        <v>810</v>
      </c>
      <c r="C15" s="21" t="s">
        <v>811</v>
      </c>
      <c r="D15" s="21" t="s">
        <v>803</v>
      </c>
      <c r="E15" s="21" t="n">
        <v>10</v>
      </c>
      <c r="F15" s="58" t="n">
        <v>0.063</v>
      </c>
      <c r="G15" s="58" t="n">
        <v>-0.054</v>
      </c>
      <c r="H15" s="58" t="n">
        <v>-0.357</v>
      </c>
      <c r="I15" s="58" t="n">
        <v>-0.74</v>
      </c>
      <c r="J15" s="58" t="n">
        <v>0.483</v>
      </c>
      <c r="K15" s="58" t="n">
        <v>1.16</v>
      </c>
      <c r="L15" s="8" t="s">
        <v>812</v>
      </c>
    </row>
    <row r="16" customFormat="false" ht="24" hidden="false" customHeight="true" outlineLevel="0" collapsed="false">
      <c r="B16" s="21" t="s">
        <v>813</v>
      </c>
      <c r="C16" s="21" t="s">
        <v>814</v>
      </c>
      <c r="D16" s="21" t="s">
        <v>803</v>
      </c>
      <c r="E16" s="21" t="n">
        <v>10</v>
      </c>
      <c r="F16" s="58" t="n">
        <v>0.007</v>
      </c>
      <c r="G16" s="58" t="n">
        <v>-0.117</v>
      </c>
      <c r="H16" s="58" t="n">
        <v>-0.114</v>
      </c>
      <c r="I16" s="58" t="n">
        <v>-0.24</v>
      </c>
      <c r="J16" s="58" t="n">
        <v>0.818</v>
      </c>
      <c r="K16" s="58" t="n">
        <v>1</v>
      </c>
      <c r="L16" s="8" t="s">
        <v>815</v>
      </c>
    </row>
    <row r="17" customFormat="false" ht="36" hidden="false" customHeight="true" outlineLevel="0" collapsed="false">
      <c r="B17" s="21" t="s">
        <v>816</v>
      </c>
      <c r="C17" s="21" t="s">
        <v>817</v>
      </c>
      <c r="D17" s="21" t="s">
        <v>818</v>
      </c>
      <c r="E17" s="21" t="n">
        <v>10</v>
      </c>
      <c r="F17" s="58" t="n">
        <v>0.927</v>
      </c>
      <c r="G17" s="58" t="n">
        <v>0.906</v>
      </c>
      <c r="H17" s="58" t="n">
        <v>-0.966</v>
      </c>
      <c r="I17" s="58" t="n">
        <v>-1.73</v>
      </c>
      <c r="J17" s="58" t="n">
        <v>0.128</v>
      </c>
      <c r="K17" s="58" t="n">
        <v>1.91</v>
      </c>
      <c r="L17" s="8" t="s">
        <v>819</v>
      </c>
    </row>
    <row r="18" customFormat="false" ht="24" hidden="false" customHeight="true" outlineLevel="0" collapsed="false">
      <c r="B18" s="21" t="s">
        <v>820</v>
      </c>
      <c r="C18" s="21" t="s">
        <v>821</v>
      </c>
      <c r="D18" s="21" t="s">
        <v>818</v>
      </c>
      <c r="E18" s="21" t="n">
        <v>10</v>
      </c>
      <c r="F18" s="58" t="n">
        <v>0.902</v>
      </c>
      <c r="G18" s="58" t="n">
        <v>0.874</v>
      </c>
      <c r="H18" s="58" t="n">
        <v>-0.445</v>
      </c>
      <c r="I18" s="58" t="n">
        <v>-0.68</v>
      </c>
      <c r="J18" s="58" t="n">
        <v>0.518</v>
      </c>
      <c r="K18" s="58" t="n">
        <v>1.1</v>
      </c>
      <c r="L18" s="8" t="s">
        <v>822</v>
      </c>
    </row>
    <row r="19" customFormat="false" ht="24" hidden="false" customHeight="true" outlineLevel="0" collapsed="false">
      <c r="B19" s="21" t="s">
        <v>823</v>
      </c>
      <c r="C19" s="21" t="s">
        <v>824</v>
      </c>
      <c r="D19" s="21" t="s">
        <v>784</v>
      </c>
      <c r="E19" s="21" t="n">
        <v>11</v>
      </c>
      <c r="F19" s="58" t="n">
        <v>0.106</v>
      </c>
      <c r="G19" s="58" t="n">
        <v>0.007</v>
      </c>
      <c r="H19" s="58" t="n">
        <v>1.966</v>
      </c>
      <c r="I19" s="58" t="n">
        <v>1.04</v>
      </c>
      <c r="J19" s="58" t="n">
        <v>0.327</v>
      </c>
      <c r="K19" s="58" t="n">
        <v>0.35</v>
      </c>
      <c r="L19" s="8" t="s">
        <v>825</v>
      </c>
    </row>
    <row r="20" customFormat="false" ht="24" hidden="false" customHeight="true" outlineLevel="0" collapsed="false">
      <c r="B20" s="21" t="s">
        <v>826</v>
      </c>
      <c r="C20" s="21" t="s">
        <v>827</v>
      </c>
      <c r="D20" s="21" t="s">
        <v>784</v>
      </c>
      <c r="E20" s="21" t="n">
        <v>11</v>
      </c>
      <c r="F20" s="58" t="n">
        <v>0.05</v>
      </c>
      <c r="G20" s="58" t="n">
        <v>-0.056</v>
      </c>
      <c r="H20" s="58" t="n">
        <v>1.344</v>
      </c>
      <c r="I20" s="58" t="n">
        <v>0.69</v>
      </c>
      <c r="J20" s="58" t="n">
        <v>0.509</v>
      </c>
      <c r="K20" s="58" t="n">
        <v>0.23</v>
      </c>
      <c r="L20" s="8" t="s">
        <v>828</v>
      </c>
    </row>
    <row r="21" customFormat="false" ht="24" hidden="false" customHeight="true" outlineLevel="0" collapsed="false">
      <c r="B21" s="21" t="s">
        <v>829</v>
      </c>
      <c r="C21" s="21" t="s">
        <v>830</v>
      </c>
      <c r="D21" s="21" t="s">
        <v>803</v>
      </c>
      <c r="E21" s="21" t="n">
        <v>10</v>
      </c>
      <c r="F21" s="58" t="n">
        <v>0.063</v>
      </c>
      <c r="G21" s="58" t="n">
        <v>-0.054</v>
      </c>
      <c r="H21" s="58" t="n">
        <v>-0.467</v>
      </c>
      <c r="I21" s="58" t="n">
        <v>-0.74</v>
      </c>
      <c r="J21" s="58" t="n">
        <v>0.483</v>
      </c>
      <c r="K21" s="58" t="n">
        <v>1.14</v>
      </c>
      <c r="L21" s="8" t="s">
        <v>831</v>
      </c>
    </row>
    <row r="23" customFormat="false" ht="15" hidden="false" customHeight="true" outlineLevel="0" collapsed="false">
      <c r="B23" s="4" t="s">
        <v>832</v>
      </c>
    </row>
    <row r="25" customFormat="false" ht="773.25" hidden="false" customHeight="true" outlineLevel="0" collapsed="false">
      <c r="B25" s="9" t="s">
        <v>833</v>
      </c>
    </row>
    <row r="28" customFormat="false" ht="637.5" hidden="false" customHeight="true" outlineLevel="0" collapsed="false">
      <c r="B28" s="9" t="s">
        <v>834</v>
      </c>
    </row>
    <row r="31" customFormat="false" ht="387" hidden="false" customHeight="true" outlineLevel="0" collapsed="false">
      <c r="B31" s="9" t="s">
        <v>835</v>
      </c>
    </row>
    <row r="34" customFormat="false" ht="836.25" hidden="false" customHeight="true" outlineLevel="0" collapsed="false">
      <c r="B34" s="9" t="s">
        <v>836</v>
      </c>
    </row>
    <row r="37" customFormat="false" ht="585.75" hidden="false" customHeight="true" outlineLevel="0" collapsed="false">
      <c r="B37" s="9" t="s">
        <v>837</v>
      </c>
    </row>
    <row r="40" customFormat="false" ht="919.5" hidden="false" customHeight="true" outlineLevel="0" collapsed="false">
      <c r="B40" s="9" t="s">
        <v>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G2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8"/>
    <col collapsed="false" customWidth="true" hidden="false" outlineLevel="0" max="3" min="3" style="1" width="15"/>
    <col collapsed="false" customWidth="true" hidden="false" outlineLevel="0" max="6" min="4" style="1" width="16"/>
    <col collapsed="false" customWidth="true" hidden="false" outlineLevel="0" max="7" min="7" style="1" width="62"/>
  </cols>
  <sheetData>
    <row r="1" customFormat="false" ht="21.75" hidden="false" customHeight="true" outlineLevel="0" collapsed="false">
      <c r="B1" s="2" t="s">
        <v>839</v>
      </c>
      <c r="C1" s="3"/>
      <c r="D1" s="3"/>
      <c r="E1" s="3"/>
      <c r="F1" s="3"/>
      <c r="G1" s="3"/>
    </row>
    <row r="5" customFormat="false" ht="31.5" hidden="false" customHeight="true" outlineLevel="0" collapsed="false">
      <c r="B5" s="6" t="s">
        <v>574</v>
      </c>
      <c r="C5" s="6" t="s">
        <v>840</v>
      </c>
      <c r="D5" s="6" t="s">
        <v>841</v>
      </c>
      <c r="E5" s="6" t="s">
        <v>842</v>
      </c>
      <c r="F5" s="6" t="s">
        <v>843</v>
      </c>
    </row>
    <row r="6" customFormat="false" ht="15" hidden="false" customHeight="true" outlineLevel="0" collapsed="false">
      <c r="B6" s="49" t="n">
        <v>2014</v>
      </c>
      <c r="C6" s="64" t="n">
        <v>0.019</v>
      </c>
      <c r="D6" s="14" t="n">
        <f aca="false">NORMSINV(C6)</f>
        <v>-2.07485473439331</v>
      </c>
      <c r="E6" s="14"/>
      <c r="F6" s="64" t="n">
        <v>0.01292252294</v>
      </c>
    </row>
    <row r="7" customFormat="false" ht="15" hidden="false" customHeight="true" outlineLevel="0" collapsed="false">
      <c r="B7" s="49" t="n">
        <v>2015</v>
      </c>
      <c r="C7" s="64" t="n">
        <v>0.017</v>
      </c>
      <c r="D7" s="14" t="n">
        <f aca="false">NORMSINV(C7)</f>
        <v>-2.12007168974215</v>
      </c>
      <c r="E7" s="14" t="n">
        <f aca="false">D7-D6</f>
        <v>-0.0452169553488409</v>
      </c>
      <c r="F7" s="64" t="n">
        <v>0.05017057997</v>
      </c>
    </row>
    <row r="8" customFormat="false" ht="15" hidden="false" customHeight="true" outlineLevel="0" collapsed="false">
      <c r="B8" s="49" t="n">
        <v>2016</v>
      </c>
      <c r="C8" s="64" t="n">
        <v>0.018</v>
      </c>
      <c r="D8" s="14" t="n">
        <f aca="false">NORMSINV(C8)</f>
        <v>-2.09692742916434</v>
      </c>
      <c r="E8" s="14" t="n">
        <f aca="false">D8-D7</f>
        <v>0.0231442605778085</v>
      </c>
      <c r="F8" s="64" t="n">
        <v>0.05046423946</v>
      </c>
    </row>
    <row r="9" customFormat="false" ht="15" hidden="false" customHeight="true" outlineLevel="0" collapsed="false">
      <c r="B9" s="49" t="n">
        <v>2017</v>
      </c>
      <c r="C9" s="64" t="n">
        <v>0.019</v>
      </c>
      <c r="D9" s="14" t="n">
        <f aca="false">NORMSINV(C9)</f>
        <v>-2.07485473439331</v>
      </c>
      <c r="E9" s="14" t="n">
        <f aca="false">D9-D8</f>
        <v>0.0220726947710324</v>
      </c>
      <c r="F9" s="64" t="n">
        <v>0.003040575659</v>
      </c>
    </row>
    <row r="10" customFormat="false" ht="15" hidden="false" customHeight="true" outlineLevel="0" collapsed="false">
      <c r="B10" s="49" t="n">
        <v>2018</v>
      </c>
      <c r="C10" s="64" t="n">
        <v>0.027</v>
      </c>
      <c r="D10" s="14" t="n">
        <f aca="false">NORMSINV(C10)</f>
        <v>-1.92683657326391</v>
      </c>
      <c r="E10" s="14" t="n">
        <f aca="false">D10-D9</f>
        <v>0.148018161129399</v>
      </c>
      <c r="F10" s="64" t="n">
        <v>0.01287103915</v>
      </c>
    </row>
    <row r="11" customFormat="false" ht="15" hidden="false" customHeight="true" outlineLevel="0" collapsed="false">
      <c r="B11" s="49" t="n">
        <v>2019</v>
      </c>
      <c r="C11" s="64" t="n">
        <v>0.035</v>
      </c>
      <c r="D11" s="14" t="n">
        <f aca="false">NORMSINV(C11)</f>
        <v>-1.8119106729526</v>
      </c>
      <c r="E11" s="14" t="n">
        <f aca="false">D11-D10</f>
        <v>0.114925900311313</v>
      </c>
      <c r="F11" s="64" t="n">
        <v>-0.01128638017</v>
      </c>
    </row>
    <row r="12" customFormat="false" ht="15" hidden="false" customHeight="true" outlineLevel="0" collapsed="false">
      <c r="B12" s="49" t="n">
        <v>2020</v>
      </c>
      <c r="C12" s="64" t="n">
        <v>0.042</v>
      </c>
      <c r="D12" s="14" t="n">
        <f aca="false">NORMSINV(C12)</f>
        <v>-1.72793432238842</v>
      </c>
      <c r="E12" s="14" t="n">
        <f aca="false">D12-D11</f>
        <v>0.0839763505641795</v>
      </c>
      <c r="F12" s="64" t="n">
        <v>-0.03379720527</v>
      </c>
    </row>
    <row r="13" customFormat="false" ht="15" hidden="false" customHeight="true" outlineLevel="0" collapsed="false">
      <c r="B13" s="49" t="n">
        <v>2021</v>
      </c>
      <c r="C13" s="64" t="n">
        <v>0.042</v>
      </c>
      <c r="D13" s="14" t="n">
        <f aca="false">NORMSINV(C13)</f>
        <v>-1.72793432238842</v>
      </c>
      <c r="E13" s="14" t="n">
        <f aca="false">D13-D12</f>
        <v>0</v>
      </c>
      <c r="F13" s="64" t="n">
        <v>0.02582472509</v>
      </c>
    </row>
    <row r="14" customFormat="false" ht="15" hidden="false" customHeight="true" outlineLevel="0" collapsed="false">
      <c r="B14" s="49" t="n">
        <v>2022</v>
      </c>
      <c r="C14" s="64" t="n">
        <v>0.044</v>
      </c>
      <c r="D14" s="14" t="n">
        <f aca="false">NORMSINV(C14)</f>
        <v>-1.70604339688896</v>
      </c>
      <c r="E14" s="14" t="n">
        <f aca="false">D14-D13</f>
        <v>0.021890925499457</v>
      </c>
      <c r="F14" s="64" t="n">
        <v>0.07985394093</v>
      </c>
    </row>
    <row r="15" customFormat="false" ht="15" hidden="false" customHeight="true" outlineLevel="0" collapsed="false">
      <c r="B15" s="49" t="n">
        <v>2023</v>
      </c>
      <c r="C15" s="64" t="n">
        <v>0.045</v>
      </c>
      <c r="D15" s="14" t="n">
        <f aca="false">NORMSINV(C15)</f>
        <v>-1.69539771027214</v>
      </c>
      <c r="E15" s="14" t="n">
        <f aca="false">D15-D14</f>
        <v>0.0106456866168254</v>
      </c>
      <c r="F15" s="64" t="n">
        <v>0.01414087155</v>
      </c>
    </row>
    <row r="16" customFormat="false" ht="15" hidden="false" customHeight="true" outlineLevel="0" collapsed="false">
      <c r="B16" s="49" t="n">
        <v>2024</v>
      </c>
      <c r="C16" s="64" t="n">
        <v>0.045</v>
      </c>
      <c r="D16" s="14" t="n">
        <f aca="false">NORMSINV(C16)</f>
        <v>-1.69539771027214</v>
      </c>
      <c r="E16" s="14" t="n">
        <f aca="false">D16-D15</f>
        <v>0</v>
      </c>
      <c r="F16" s="64" t="n">
        <v>0.01631663974</v>
      </c>
    </row>
    <row r="18" customFormat="false" ht="15" hidden="false" customHeight="true" outlineLevel="0" collapsed="false">
      <c r="B18" s="13" t="s">
        <v>844</v>
      </c>
      <c r="E18" s="69" t="n">
        <f aca="false">CORREL(E7:E16,F7:F16)</f>
        <v>-0.529103679607976</v>
      </c>
    </row>
    <row r="19" customFormat="false" ht="15" hidden="false" customHeight="true" outlineLevel="0" collapsed="false">
      <c r="B19" s="13" t="s">
        <v>845</v>
      </c>
      <c r="E19" s="78" t="n">
        <f aca="false">SLOPE(E7:E16,F7:F16)</f>
        <v>-0.952018563725665</v>
      </c>
    </row>
    <row r="20" customFormat="false" ht="15" hidden="false" customHeight="true" outlineLevel="0" collapsed="false">
      <c r="B20" s="21" t="s">
        <v>846</v>
      </c>
      <c r="E20" s="14" t="n">
        <f aca="false">INTERCEPT(E7:E16,F7:F16)</f>
        <v>0.0577095150788311</v>
      </c>
    </row>
    <row r="21" customFormat="false" ht="15" hidden="false" customHeight="true" outlineLevel="0" collapsed="false">
      <c r="B21" s="21" t="s">
        <v>775</v>
      </c>
      <c r="E21" s="58" t="n">
        <f aca="false">RSQ(E7:E16,F7:F16)</f>
        <v>0.2799507037747</v>
      </c>
    </row>
    <row r="22" customFormat="false" ht="15" hidden="false" customHeight="true" outlineLevel="0" collapsed="false">
      <c r="B22" s="21" t="s">
        <v>847</v>
      </c>
      <c r="E22" s="14" t="n">
        <f aca="false">STDEV(E7:E16)</f>
        <v>0.0590955720196972</v>
      </c>
    </row>
    <row r="23" customFormat="false" ht="15" hidden="false" customHeight="true" outlineLevel="0" collapsed="false">
      <c r="B23" s="21" t="s">
        <v>848</v>
      </c>
      <c r="E23" s="14" t="n">
        <f aca="false">STDEV(F7:F16)</f>
        <v>0.0328435660769006</v>
      </c>
    </row>
    <row r="25" customFormat="false" ht="189" hidden="false" customHeight="true" outlineLevel="0" collapsed="false">
      <c r="B25" s="9" t="s">
        <v>849</v>
      </c>
    </row>
    <row r="27" customFormat="false" ht="231" hidden="false" customHeight="true" outlineLevel="0" collapsed="false">
      <c r="B27" s="9" t="s">
        <v>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E"/>
    <pageSetUpPr fitToPage="false"/>
  </sheetPr>
  <dimension ref="B1:H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4" min="3" style="1" width="15"/>
    <col collapsed="false" customWidth="true" hidden="false" outlineLevel="0" max="5" min="5" style="1" width="17"/>
    <col collapsed="false" customWidth="true" hidden="false" outlineLevel="0" max="6" min="6" style="1" width="4"/>
    <col collapsed="false" customWidth="true" hidden="false" outlineLevel="0" max="7" min="7" style="1" width="92"/>
  </cols>
  <sheetData>
    <row r="1" customFormat="false" ht="21.75" hidden="false" customHeight="true" outlineLevel="0" collapsed="false">
      <c r="B1" s="2" t="s">
        <v>851</v>
      </c>
      <c r="C1" s="3"/>
      <c r="D1" s="3"/>
      <c r="E1" s="3"/>
      <c r="F1" s="3"/>
      <c r="G1" s="3"/>
      <c r="H1" s="3"/>
    </row>
    <row r="2" customFormat="false" ht="63.75" hidden="false" customHeight="true" outlineLevel="0" collapsed="false">
      <c r="B2" s="9" t="s">
        <v>852</v>
      </c>
    </row>
    <row r="4" customFormat="false" ht="15" hidden="false" customHeight="true" outlineLevel="0" collapsed="false">
      <c r="B4" s="4" t="s">
        <v>853</v>
      </c>
    </row>
    <row r="5" customFormat="false" ht="15" hidden="false" customHeight="true" outlineLevel="0" collapsed="false">
      <c r="B5" s="21" t="s">
        <v>854</v>
      </c>
      <c r="C5" s="24" t="n">
        <f aca="false">Regression_Data!E19</f>
        <v>-0.952018563725665</v>
      </c>
    </row>
    <row r="6" customFormat="false" ht="15" hidden="false" customHeight="true" outlineLevel="0" collapsed="false">
      <c r="B6" s="21" t="s">
        <v>855</v>
      </c>
      <c r="C6" s="18" t="n">
        <f aca="false">Regression_Data!E18</f>
        <v>-0.529103679607976</v>
      </c>
    </row>
    <row r="7" customFormat="false" ht="15" hidden="false" customHeight="true" outlineLevel="0" collapsed="false">
      <c r="B7" s="21" t="s">
        <v>856</v>
      </c>
      <c r="C7" s="24" t="n">
        <f aca="false">Regression_Data!E22</f>
        <v>0.0590955720196972</v>
      </c>
    </row>
    <row r="8" customFormat="false" ht="15" hidden="false" customHeight="true" outlineLevel="0" collapsed="false">
      <c r="B8" s="21" t="s">
        <v>857</v>
      </c>
      <c r="C8" s="24" t="n">
        <f aca="false">Regression_Data!E23</f>
        <v>0.0328435660769006</v>
      </c>
    </row>
    <row r="9" customFormat="false" ht="32.25" hidden="false" customHeight="true" outlineLevel="0" collapsed="false">
      <c r="B9" s="13" t="s">
        <v>858</v>
      </c>
      <c r="C9" s="67" t="n">
        <v>-0.5291</v>
      </c>
      <c r="G9" s="9" t="s">
        <v>859</v>
      </c>
    </row>
    <row r="10" customFormat="false" ht="15" hidden="false" customHeight="true" outlineLevel="0" collapsed="false">
      <c r="B10" s="13" t="s">
        <v>860</v>
      </c>
      <c r="C10" s="78" t="n">
        <f aca="false">C9*C7/C8</f>
        <v>-0.952011942990949</v>
      </c>
    </row>
    <row r="13" customFormat="false" ht="15" hidden="false" customHeight="true" outlineLevel="0" collapsed="false">
      <c r="B13" s="4" t="s">
        <v>861</v>
      </c>
    </row>
    <row r="14" customFormat="false" ht="31.5" hidden="false" customHeight="true" outlineLevel="0" collapsed="false">
      <c r="B14" s="6" t="s">
        <v>534</v>
      </c>
      <c r="C14" s="6" t="s">
        <v>862</v>
      </c>
      <c r="D14" s="6" t="s">
        <v>863</v>
      </c>
      <c r="E14" s="6" t="s">
        <v>864</v>
      </c>
    </row>
    <row r="15" customFormat="false" ht="15" hidden="false" customHeight="true" outlineLevel="0" collapsed="false">
      <c r="B15" s="21" t="s">
        <v>363</v>
      </c>
      <c r="C15" s="20" t="n">
        <f aca="false">INDEX(Scenario_Mapping!$D$20:$G$23,MATCH($B15,Scenario_Mapping!$B$20:$B$23,0),MATCH(Scenario_Mapping!$C$39,Scenario_Mapping!$D$19:$G$19,0))</f>
        <v>-1</v>
      </c>
      <c r="D15" s="29" t="n">
        <f aca="false">C15/100</f>
        <v>-0.01</v>
      </c>
      <c r="E15" s="14" t="n">
        <f aca="false">$C$10*D15</f>
        <v>0.00952011942990949</v>
      </c>
    </row>
    <row r="16" customFormat="false" ht="15" hidden="false" customHeight="true" outlineLevel="0" collapsed="false">
      <c r="B16" s="21" t="s">
        <v>364</v>
      </c>
      <c r="C16" s="20" t="n">
        <f aca="false">INDEX(Scenario_Mapping!$D$20:$G$23,MATCH($B16,Scenario_Mapping!$B$20:$B$23,0),MATCH(Scenario_Mapping!$C$39,Scenario_Mapping!$D$19:$G$19,0))</f>
        <v>-2</v>
      </c>
      <c r="D16" s="29" t="n">
        <f aca="false">C16/100</f>
        <v>-0.02</v>
      </c>
      <c r="E16" s="14" t="n">
        <f aca="false">$C$10*D16</f>
        <v>0.019040238859819</v>
      </c>
    </row>
    <row r="17" customFormat="false" ht="15" hidden="false" customHeight="true" outlineLevel="0" collapsed="false">
      <c r="B17" s="21" t="s">
        <v>365</v>
      </c>
      <c r="C17" s="20" t="n">
        <f aca="false">INDEX(Scenario_Mapping!$D$20:$G$23,MATCH($B17,Scenario_Mapping!$B$20:$B$23,0),MATCH(Scenario_Mapping!$C$39,Scenario_Mapping!$D$19:$G$19,0))</f>
        <v>0</v>
      </c>
      <c r="D17" s="29" t="n">
        <f aca="false">C17/100</f>
        <v>0</v>
      </c>
      <c r="E17" s="14" t="n">
        <f aca="false">$C$10*D17</f>
        <v>-0</v>
      </c>
    </row>
    <row r="18" customFormat="false" ht="15" hidden="false" customHeight="true" outlineLevel="0" collapsed="false">
      <c r="B18" s="21" t="s">
        <v>366</v>
      </c>
      <c r="C18" s="20" t="n">
        <f aca="false">INDEX(Scenario_Mapping!$D$20:$G$23,MATCH($B18,Scenario_Mapping!$B$20:$B$23,0),MATCH(Scenario_Mapping!$C$39,Scenario_Mapping!$D$19:$G$19,0))</f>
        <v>0</v>
      </c>
      <c r="D18" s="29" t="n">
        <f aca="false">C18/100</f>
        <v>0</v>
      </c>
      <c r="E18" s="14" t="n">
        <f aca="false">$C$10*D18</f>
        <v>-0</v>
      </c>
    </row>
    <row r="20" customFormat="false" ht="53.25" hidden="false" customHeight="true" outlineLevel="0" collapsed="false">
      <c r="B20" s="9" t="s">
        <v>865</v>
      </c>
    </row>
    <row r="23" customFormat="false" ht="15" hidden="false" customHeight="true" outlineLevel="0" collapsed="false">
      <c r="B23" s="4" t="s">
        <v>866</v>
      </c>
    </row>
    <row r="24" customFormat="false" ht="15" hidden="false" customHeight="true" outlineLevel="0" collapsed="false">
      <c r="B24" s="21" t="s">
        <v>867</v>
      </c>
      <c r="C24" s="29" t="n">
        <f aca="false">C8</f>
        <v>0.0328435660769006</v>
      </c>
    </row>
    <row r="25" customFormat="false" ht="15" hidden="false" customHeight="true" outlineLevel="0" collapsed="false">
      <c r="B25" s="21" t="s">
        <v>868</v>
      </c>
      <c r="C25" s="43" t="n">
        <f aca="false">IF($C$8=0,0,D15/$C$8)</f>
        <v>-0.304473636528561</v>
      </c>
    </row>
    <row r="26" customFormat="false" ht="15" hidden="false" customHeight="true" outlineLevel="0" collapsed="false">
      <c r="B26" s="21" t="s">
        <v>869</v>
      </c>
      <c r="C26" s="43" t="n">
        <f aca="false">IF($C$8=0,0,D16/$C$8)</f>
        <v>-0.608947273057121</v>
      </c>
    </row>
    <row r="27" customFormat="false" ht="15" hidden="false" customHeight="true" outlineLevel="0" collapsed="false">
      <c r="B27" s="21" t="s">
        <v>870</v>
      </c>
      <c r="C27" s="43" t="n">
        <f aca="false">IF($C$8=0,0,D17/$C$8)</f>
        <v>0</v>
      </c>
    </row>
    <row r="28" customFormat="false" ht="15" hidden="false" customHeight="true" outlineLevel="0" collapsed="false">
      <c r="B28" s="21" t="s">
        <v>871</v>
      </c>
      <c r="C28" s="43" t="n">
        <f aca="false">IF($C$8=0,0,D18/$C$8)</f>
        <v>0</v>
      </c>
    </row>
    <row r="30" customFormat="false" ht="42.75" hidden="false" customHeight="true" outlineLevel="0" collapsed="false">
      <c r="B30" s="9" t="s">
        <v>872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1:E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2"/>
    <col collapsed="false" customWidth="true" hidden="false" outlineLevel="0" max="3" min="3" style="1" width="15"/>
    <col collapsed="false" customWidth="true" hidden="false" outlineLevel="0" max="4" min="4" style="1" width="72"/>
  </cols>
  <sheetData>
    <row r="1" customFormat="false" ht="21.75" hidden="false" customHeight="true" outlineLevel="0" collapsed="false">
      <c r="B1" s="2" t="s">
        <v>873</v>
      </c>
      <c r="C1" s="3"/>
      <c r="D1" s="3"/>
      <c r="E1" s="3"/>
    </row>
    <row r="2" customFormat="false" ht="95.25" hidden="false" customHeight="true" outlineLevel="0" collapsed="false">
      <c r="B2" s="9" t="s">
        <v>874</v>
      </c>
    </row>
    <row r="5" customFormat="false" ht="31.5" hidden="false" customHeight="true" outlineLevel="0" collapsed="false">
      <c r="B5" s="6" t="s">
        <v>417</v>
      </c>
      <c r="C5" s="6" t="s">
        <v>419</v>
      </c>
      <c r="D5" s="6" t="s">
        <v>530</v>
      </c>
    </row>
    <row r="6" customFormat="false" ht="15" hidden="false" customHeight="true" outlineLevel="0" collapsed="false">
      <c r="B6" s="79" t="s">
        <v>428</v>
      </c>
      <c r="C6" s="80" t="n">
        <v>0.001</v>
      </c>
      <c r="D6" s="36" t="s">
        <v>875</v>
      </c>
    </row>
    <row r="7" customFormat="false" ht="15" hidden="false" customHeight="true" outlineLevel="0" collapsed="false">
      <c r="B7" s="79" t="s">
        <v>429</v>
      </c>
      <c r="C7" s="80" t="n">
        <v>0.0025</v>
      </c>
    </row>
    <row r="8" customFormat="false" ht="15" hidden="false" customHeight="true" outlineLevel="0" collapsed="false">
      <c r="B8" s="79" t="s">
        <v>430</v>
      </c>
      <c r="C8" s="80" t="n">
        <v>0.005</v>
      </c>
    </row>
    <row r="9" customFormat="false" ht="15" hidden="false" customHeight="true" outlineLevel="0" collapsed="false">
      <c r="B9" s="79" t="s">
        <v>431</v>
      </c>
      <c r="C9" s="80" t="n">
        <v>0.01</v>
      </c>
    </row>
    <row r="10" customFormat="false" ht="15" hidden="false" customHeight="true" outlineLevel="0" collapsed="false">
      <c r="B10" s="79" t="s">
        <v>432</v>
      </c>
      <c r="C10" s="80" t="n">
        <v>0.02</v>
      </c>
    </row>
    <row r="11" customFormat="false" ht="15" hidden="false" customHeight="true" outlineLevel="0" collapsed="false">
      <c r="B11" s="79" t="s">
        <v>433</v>
      </c>
      <c r="C11" s="80" t="n">
        <v>0.045</v>
      </c>
    </row>
    <row r="12" customFormat="false" ht="15" hidden="false" customHeight="true" outlineLevel="0" collapsed="false">
      <c r="B12" s="79" t="s">
        <v>434</v>
      </c>
      <c r="C12" s="80" t="n">
        <v>0.1</v>
      </c>
    </row>
    <row r="15" customFormat="false" ht="157.5" hidden="false" customHeight="true" outlineLevel="0" collapsed="false">
      <c r="B15" s="9" t="s">
        <v>876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B1:G2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40"/>
    <col collapsed="false" customWidth="true" hidden="false" outlineLevel="0" max="4" min="4" style="1" width="26"/>
    <col collapsed="false" customWidth="true" hidden="false" outlineLevel="0" max="5" min="5" style="1" width="36"/>
    <col collapsed="false" customWidth="true" hidden="false" outlineLevel="0" max="6" min="6" style="1" width="62"/>
    <col collapsed="false" customWidth="true" hidden="false" outlineLevel="0" max="7" min="7" style="1" width="15"/>
  </cols>
  <sheetData>
    <row r="1" customFormat="false" ht="21.75" hidden="false" customHeight="true" outlineLevel="0" collapsed="false">
      <c r="B1" s="2" t="s">
        <v>877</v>
      </c>
      <c r="C1" s="3"/>
      <c r="D1" s="3"/>
      <c r="E1" s="3"/>
      <c r="F1" s="3"/>
      <c r="G1" s="3"/>
    </row>
    <row r="4" customFormat="false" ht="31.5" hidden="false" customHeight="true" outlineLevel="0" collapsed="false">
      <c r="B4" s="6" t="s">
        <v>24</v>
      </c>
      <c r="C4" s="6" t="s">
        <v>108</v>
      </c>
      <c r="D4" s="6" t="s">
        <v>878</v>
      </c>
      <c r="E4" s="6" t="s">
        <v>576</v>
      </c>
      <c r="F4" s="6" t="s">
        <v>530</v>
      </c>
      <c r="G4" s="6" t="s">
        <v>112</v>
      </c>
    </row>
    <row r="5" customFormat="false" ht="25.5" hidden="false" customHeight="true" outlineLevel="0" collapsed="false">
      <c r="B5" s="7" t="s">
        <v>28</v>
      </c>
      <c r="C5" s="8" t="s">
        <v>879</v>
      </c>
      <c r="D5" s="8" t="s">
        <v>880</v>
      </c>
      <c r="E5" s="8" t="s">
        <v>129</v>
      </c>
      <c r="F5" s="8" t="s">
        <v>881</v>
      </c>
      <c r="G5" s="11" t="s">
        <v>131</v>
      </c>
    </row>
    <row r="6" customFormat="false" ht="25.5" hidden="false" customHeight="true" outlineLevel="0" collapsed="false">
      <c r="B6" s="7" t="s">
        <v>32</v>
      </c>
      <c r="C6" s="8" t="s">
        <v>882</v>
      </c>
      <c r="D6" s="8" t="s">
        <v>883</v>
      </c>
      <c r="E6" s="8" t="s">
        <v>884</v>
      </c>
      <c r="F6" s="8" t="s">
        <v>885</v>
      </c>
      <c r="G6" s="10" t="s">
        <v>886</v>
      </c>
    </row>
    <row r="7" customFormat="false" ht="36" hidden="false" customHeight="true" outlineLevel="0" collapsed="false">
      <c r="B7" s="7" t="s">
        <v>35</v>
      </c>
      <c r="C7" s="8" t="s">
        <v>887</v>
      </c>
      <c r="D7" s="8" t="s">
        <v>888</v>
      </c>
      <c r="E7" s="8" t="s">
        <v>889</v>
      </c>
      <c r="F7" s="8" t="s">
        <v>890</v>
      </c>
      <c r="G7" s="10" t="s">
        <v>886</v>
      </c>
    </row>
    <row r="8" customFormat="false" ht="25.5" hidden="false" customHeight="true" outlineLevel="0" collapsed="false">
      <c r="B8" s="7" t="s">
        <v>39</v>
      </c>
      <c r="C8" s="8" t="s">
        <v>891</v>
      </c>
      <c r="D8" s="8" t="s">
        <v>892</v>
      </c>
      <c r="E8" s="8" t="s">
        <v>893</v>
      </c>
      <c r="F8" s="8" t="s">
        <v>894</v>
      </c>
      <c r="G8" s="12" t="s">
        <v>895</v>
      </c>
    </row>
    <row r="9" customFormat="false" ht="36" hidden="false" customHeight="true" outlineLevel="0" collapsed="false">
      <c r="B9" s="7" t="s">
        <v>43</v>
      </c>
      <c r="C9" s="8" t="s">
        <v>896</v>
      </c>
      <c r="D9" s="8" t="s">
        <v>897</v>
      </c>
      <c r="E9" s="8" t="s">
        <v>898</v>
      </c>
      <c r="F9" s="8" t="s">
        <v>899</v>
      </c>
      <c r="G9" s="11" t="s">
        <v>131</v>
      </c>
    </row>
    <row r="10" customFormat="false" ht="25.5" hidden="false" customHeight="true" outlineLevel="0" collapsed="false">
      <c r="B10" s="7" t="s">
        <v>47</v>
      </c>
      <c r="C10" s="8" t="s">
        <v>900</v>
      </c>
      <c r="D10" s="8" t="s">
        <v>901</v>
      </c>
      <c r="E10" s="8" t="s">
        <v>902</v>
      </c>
      <c r="F10" s="8" t="s">
        <v>903</v>
      </c>
      <c r="G10" s="11" t="s">
        <v>131</v>
      </c>
    </row>
    <row r="11" customFormat="false" ht="25.5" hidden="false" customHeight="true" outlineLevel="0" collapsed="false">
      <c r="B11" s="7" t="s">
        <v>51</v>
      </c>
      <c r="C11" s="8" t="s">
        <v>904</v>
      </c>
      <c r="D11" s="8" t="s">
        <v>905</v>
      </c>
      <c r="E11" s="8" t="s">
        <v>207</v>
      </c>
      <c r="F11" s="8" t="s">
        <v>906</v>
      </c>
      <c r="G11" s="12" t="s">
        <v>895</v>
      </c>
    </row>
    <row r="12" customFormat="false" ht="25.5" hidden="false" customHeight="true" outlineLevel="0" collapsed="false">
      <c r="B12" s="7" t="s">
        <v>55</v>
      </c>
      <c r="C12" s="8" t="s">
        <v>205</v>
      </c>
      <c r="D12" s="8" t="s">
        <v>907</v>
      </c>
      <c r="E12" s="8" t="s">
        <v>908</v>
      </c>
      <c r="F12" s="8" t="s">
        <v>909</v>
      </c>
      <c r="G12" s="10" t="s">
        <v>910</v>
      </c>
    </row>
    <row r="13" customFormat="false" ht="48" hidden="false" customHeight="true" outlineLevel="0" collapsed="false">
      <c r="B13" s="7" t="s">
        <v>59</v>
      </c>
      <c r="C13" s="8" t="s">
        <v>911</v>
      </c>
      <c r="D13" s="8" t="s">
        <v>912</v>
      </c>
      <c r="E13" s="8" t="s">
        <v>290</v>
      </c>
      <c r="F13" s="8" t="s">
        <v>913</v>
      </c>
      <c r="G13" s="10" t="s">
        <v>292</v>
      </c>
    </row>
    <row r="14" customFormat="false" ht="25.5" hidden="false" customHeight="true" outlineLevel="0" collapsed="false">
      <c r="B14" s="7" t="s">
        <v>63</v>
      </c>
      <c r="C14" s="8" t="s">
        <v>914</v>
      </c>
      <c r="D14" s="8" t="s">
        <v>915</v>
      </c>
      <c r="E14" s="8" t="s">
        <v>916</v>
      </c>
      <c r="F14" s="8" t="s">
        <v>917</v>
      </c>
      <c r="G14" s="10" t="s">
        <v>292</v>
      </c>
    </row>
    <row r="15" customFormat="false" ht="25.5" hidden="false" customHeight="true" outlineLevel="0" collapsed="false">
      <c r="B15" s="7" t="s">
        <v>67</v>
      </c>
      <c r="C15" s="8" t="s">
        <v>376</v>
      </c>
      <c r="D15" s="8" t="s">
        <v>918</v>
      </c>
      <c r="E15" s="8" t="s">
        <v>919</v>
      </c>
      <c r="F15" s="8" t="s">
        <v>920</v>
      </c>
      <c r="G15" s="10" t="s">
        <v>921</v>
      </c>
    </row>
    <row r="16" customFormat="false" ht="25.5" hidden="false" customHeight="true" outlineLevel="0" collapsed="false">
      <c r="B16" s="7" t="s">
        <v>71</v>
      </c>
      <c r="C16" s="8" t="s">
        <v>922</v>
      </c>
      <c r="D16" s="8" t="s">
        <v>923</v>
      </c>
      <c r="E16" s="8" t="s">
        <v>924</v>
      </c>
      <c r="F16" s="8" t="s">
        <v>925</v>
      </c>
      <c r="G16" s="11" t="s">
        <v>131</v>
      </c>
    </row>
    <row r="17" customFormat="false" ht="25.5" hidden="false" customHeight="true" outlineLevel="0" collapsed="false">
      <c r="B17" s="7" t="s">
        <v>75</v>
      </c>
      <c r="C17" s="8" t="s">
        <v>926</v>
      </c>
      <c r="D17" s="8" t="s">
        <v>927</v>
      </c>
      <c r="E17" s="8" t="s">
        <v>928</v>
      </c>
      <c r="F17" s="8" t="s">
        <v>929</v>
      </c>
      <c r="G17" s="11" t="s">
        <v>131</v>
      </c>
    </row>
    <row r="18" customFormat="false" ht="25.5" hidden="false" customHeight="true" outlineLevel="0" collapsed="false">
      <c r="B18" s="7" t="s">
        <v>79</v>
      </c>
      <c r="C18" s="8" t="s">
        <v>930</v>
      </c>
      <c r="D18" s="8" t="s">
        <v>931</v>
      </c>
      <c r="E18" s="8" t="s">
        <v>932</v>
      </c>
      <c r="F18" s="8" t="s">
        <v>933</v>
      </c>
      <c r="G18" s="11" t="s">
        <v>131</v>
      </c>
    </row>
    <row r="19" customFormat="false" ht="25.5" hidden="false" customHeight="true" outlineLevel="0" collapsed="false">
      <c r="B19" s="7" t="s">
        <v>83</v>
      </c>
      <c r="C19" s="8" t="s">
        <v>52</v>
      </c>
      <c r="D19" s="8" t="s">
        <v>934</v>
      </c>
      <c r="E19" s="8" t="s">
        <v>932</v>
      </c>
      <c r="F19" s="8" t="s">
        <v>935</v>
      </c>
      <c r="G19" s="11" t="s">
        <v>131</v>
      </c>
    </row>
    <row r="20" customFormat="false" ht="25.5" hidden="false" customHeight="true" outlineLevel="0" collapsed="false">
      <c r="B20" s="7" t="s">
        <v>87</v>
      </c>
      <c r="C20" s="8" t="s">
        <v>936</v>
      </c>
      <c r="D20" s="8" t="s">
        <v>937</v>
      </c>
      <c r="E20" s="8" t="s">
        <v>938</v>
      </c>
      <c r="F20" s="8" t="s">
        <v>939</v>
      </c>
      <c r="G20" s="12" t="s">
        <v>895</v>
      </c>
    </row>
    <row r="21" customFormat="false" ht="25.5" hidden="false" customHeight="true" outlineLevel="0" collapsed="false">
      <c r="B21" s="7" t="s">
        <v>91</v>
      </c>
      <c r="C21" s="8" t="s">
        <v>940</v>
      </c>
      <c r="D21" s="8" t="s">
        <v>941</v>
      </c>
      <c r="E21" s="8" t="s">
        <v>942</v>
      </c>
      <c r="F21" s="8" t="s">
        <v>943</v>
      </c>
      <c r="G21" s="10" t="s">
        <v>253</v>
      </c>
    </row>
    <row r="22" customFormat="false" ht="25.5" hidden="false" customHeight="true" outlineLevel="0" collapsed="false">
      <c r="B22" s="7" t="s">
        <v>95</v>
      </c>
      <c r="C22" s="8" t="s">
        <v>944</v>
      </c>
      <c r="D22" s="8" t="s">
        <v>945</v>
      </c>
      <c r="E22" s="8" t="s">
        <v>946</v>
      </c>
      <c r="F22" s="8" t="s">
        <v>947</v>
      </c>
      <c r="G22" s="10" t="s">
        <v>948</v>
      </c>
    </row>
    <row r="23" customFormat="false" ht="25.5" hidden="false" customHeight="true" outlineLevel="0" collapsed="false">
      <c r="B23" s="7" t="s">
        <v>98</v>
      </c>
      <c r="C23" s="8" t="s">
        <v>949</v>
      </c>
      <c r="D23" s="8" t="s">
        <v>950</v>
      </c>
      <c r="E23" s="8" t="s">
        <v>951</v>
      </c>
      <c r="F23" s="8" t="s">
        <v>952</v>
      </c>
      <c r="G23" s="12" t="s">
        <v>221</v>
      </c>
    </row>
    <row r="24" customFormat="false" ht="25.5" hidden="false" customHeight="true" outlineLevel="0" collapsed="false">
      <c r="B24" s="7" t="s">
        <v>102</v>
      </c>
      <c r="C24" s="8" t="s">
        <v>953</v>
      </c>
      <c r="D24" s="8" t="s">
        <v>954</v>
      </c>
      <c r="E24" s="8" t="s">
        <v>955</v>
      </c>
      <c r="F24" s="8" t="s">
        <v>956</v>
      </c>
      <c r="G24" s="11" t="s">
        <v>131</v>
      </c>
    </row>
    <row r="25" customFormat="false" ht="25.5" hidden="false" customHeight="true" outlineLevel="0" collapsed="false">
      <c r="B25" s="7" t="s">
        <v>199</v>
      </c>
      <c r="C25" s="8" t="s">
        <v>957</v>
      </c>
      <c r="D25" s="8" t="s">
        <v>958</v>
      </c>
      <c r="E25" s="8" t="s">
        <v>959</v>
      </c>
      <c r="F25" s="8" t="s">
        <v>960</v>
      </c>
      <c r="G25" s="11" t="s">
        <v>131</v>
      </c>
    </row>
    <row r="26" customFormat="false" ht="25.5" hidden="false" customHeight="true" outlineLevel="0" collapsed="false">
      <c r="B26" s="7" t="s">
        <v>204</v>
      </c>
      <c r="C26" s="8" t="s">
        <v>873</v>
      </c>
      <c r="D26" s="8" t="s">
        <v>961</v>
      </c>
      <c r="E26" s="8" t="s">
        <v>962</v>
      </c>
      <c r="F26" s="8" t="s">
        <v>963</v>
      </c>
      <c r="G26" s="10" t="s">
        <v>964</v>
      </c>
    </row>
    <row r="27" customFormat="false" ht="25.5" hidden="false" customHeight="true" outlineLevel="0" collapsed="false">
      <c r="B27" s="7" t="s">
        <v>210</v>
      </c>
      <c r="C27" s="8" t="s">
        <v>228</v>
      </c>
      <c r="D27" s="8" t="s">
        <v>965</v>
      </c>
      <c r="E27" s="8" t="s">
        <v>230</v>
      </c>
      <c r="F27" s="8" t="s">
        <v>966</v>
      </c>
      <c r="G27" s="11" t="s">
        <v>131</v>
      </c>
    </row>
    <row r="28" customFormat="false" ht="25.5" hidden="false" customHeight="true" outlineLevel="0" collapsed="false">
      <c r="B28" s="7" t="s">
        <v>216</v>
      </c>
      <c r="C28" s="8" t="s">
        <v>967</v>
      </c>
      <c r="D28" s="8" t="s">
        <v>968</v>
      </c>
      <c r="E28" s="8" t="s">
        <v>919</v>
      </c>
      <c r="F28" s="8" t="s">
        <v>969</v>
      </c>
      <c r="G28" s="10" t="s">
        <v>921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B1:F3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36"/>
    <col collapsed="false" customWidth="true" hidden="false" outlineLevel="0" max="4" min="4" style="1" width="26"/>
    <col collapsed="false" customWidth="true" hidden="false" outlineLevel="0" max="5" min="5" style="1" width="20"/>
    <col collapsed="false" customWidth="true" hidden="false" outlineLevel="0" max="6" min="6" style="1" width="76"/>
  </cols>
  <sheetData>
    <row r="1" customFormat="false" ht="21.75" hidden="false" customHeight="true" outlineLevel="0" collapsed="false">
      <c r="B1" s="2" t="s">
        <v>970</v>
      </c>
      <c r="C1" s="3"/>
      <c r="D1" s="3"/>
      <c r="E1" s="3"/>
      <c r="F1" s="3"/>
    </row>
    <row r="2" customFormat="false" ht="178.5" hidden="false" customHeight="true" outlineLevel="0" collapsed="false">
      <c r="B2" s="9" t="s">
        <v>971</v>
      </c>
    </row>
    <row r="4" customFormat="false" ht="31.5" hidden="false" customHeight="true" outlineLevel="0" collapsed="false">
      <c r="B4" s="6" t="s">
        <v>372</v>
      </c>
      <c r="C4" s="6" t="s">
        <v>946</v>
      </c>
      <c r="D4" s="6" t="s">
        <v>878</v>
      </c>
      <c r="E4" s="6" t="s">
        <v>972</v>
      </c>
      <c r="F4" s="6" t="s">
        <v>973</v>
      </c>
    </row>
    <row r="5" customFormat="false" ht="36" hidden="false" customHeight="true" outlineLevel="0" collapsed="false">
      <c r="B5" s="7" t="s">
        <v>974</v>
      </c>
      <c r="C5" s="8" t="s">
        <v>975</v>
      </c>
      <c r="D5" s="8" t="s">
        <v>976</v>
      </c>
      <c r="E5" s="8" t="s">
        <v>977</v>
      </c>
      <c r="F5" s="8" t="s">
        <v>978</v>
      </c>
    </row>
    <row r="6" customFormat="false" ht="36" hidden="false" customHeight="true" outlineLevel="0" collapsed="false">
      <c r="B6" s="7" t="s">
        <v>979</v>
      </c>
      <c r="C6" s="8" t="s">
        <v>980</v>
      </c>
      <c r="D6" s="8" t="s">
        <v>981</v>
      </c>
      <c r="E6" s="8" t="s">
        <v>982</v>
      </c>
      <c r="F6" s="8" t="s">
        <v>983</v>
      </c>
    </row>
    <row r="7" customFormat="false" ht="25.5" hidden="false" customHeight="true" outlineLevel="0" collapsed="false">
      <c r="B7" s="7" t="s">
        <v>984</v>
      </c>
      <c r="C7" s="8" t="s">
        <v>985</v>
      </c>
      <c r="D7" s="8" t="s">
        <v>986</v>
      </c>
      <c r="E7" s="8" t="s">
        <v>987</v>
      </c>
      <c r="F7" s="8" t="s">
        <v>988</v>
      </c>
    </row>
    <row r="8" customFormat="false" ht="48" hidden="false" customHeight="true" outlineLevel="0" collapsed="false">
      <c r="B8" s="7" t="s">
        <v>989</v>
      </c>
      <c r="C8" s="8" t="s">
        <v>990</v>
      </c>
      <c r="D8" s="8" t="s">
        <v>991</v>
      </c>
      <c r="E8" s="8" t="s">
        <v>992</v>
      </c>
      <c r="F8" s="8" t="s">
        <v>993</v>
      </c>
    </row>
    <row r="9" customFormat="false" ht="36" hidden="false" customHeight="true" outlineLevel="0" collapsed="false">
      <c r="B9" s="7" t="s">
        <v>994</v>
      </c>
      <c r="C9" s="8" t="s">
        <v>995</v>
      </c>
      <c r="D9" s="8" t="s">
        <v>996</v>
      </c>
      <c r="E9" s="8" t="s">
        <v>997</v>
      </c>
      <c r="F9" s="8" t="s">
        <v>998</v>
      </c>
    </row>
    <row r="10" customFormat="false" ht="25.5" hidden="false" customHeight="true" outlineLevel="0" collapsed="false">
      <c r="B10" s="7" t="s">
        <v>999</v>
      </c>
      <c r="C10" s="8" t="s">
        <v>940</v>
      </c>
      <c r="D10" s="8" t="s">
        <v>941</v>
      </c>
      <c r="E10" s="8" t="s">
        <v>1000</v>
      </c>
      <c r="F10" s="8" t="s">
        <v>1001</v>
      </c>
    </row>
    <row r="11" customFormat="false" ht="36" hidden="false" customHeight="true" outlineLevel="0" collapsed="false">
      <c r="B11" s="7" t="s">
        <v>1002</v>
      </c>
      <c r="C11" s="8" t="s">
        <v>1003</v>
      </c>
      <c r="D11" s="8" t="s">
        <v>1004</v>
      </c>
      <c r="E11" s="8" t="s">
        <v>1005</v>
      </c>
      <c r="F11" s="8" t="s">
        <v>1006</v>
      </c>
    </row>
    <row r="12" customFormat="false" ht="25.5" hidden="false" customHeight="true" outlineLevel="0" collapsed="false">
      <c r="B12" s="7" t="s">
        <v>1007</v>
      </c>
      <c r="C12" s="8" t="s">
        <v>1008</v>
      </c>
      <c r="D12" s="8" t="s">
        <v>931</v>
      </c>
      <c r="E12" s="8" t="s">
        <v>1009</v>
      </c>
      <c r="F12" s="8" t="s">
        <v>1010</v>
      </c>
    </row>
    <row r="13" customFormat="false" ht="25.5" hidden="false" customHeight="true" outlineLevel="0" collapsed="false">
      <c r="B13" s="7" t="s">
        <v>1011</v>
      </c>
      <c r="C13" s="8" t="s">
        <v>1012</v>
      </c>
      <c r="D13" s="8" t="s">
        <v>945</v>
      </c>
      <c r="E13" s="8" t="s">
        <v>946</v>
      </c>
      <c r="F13" s="8" t="s">
        <v>1013</v>
      </c>
    </row>
    <row r="14" customFormat="false" ht="25.5" hidden="false" customHeight="true" outlineLevel="0" collapsed="false">
      <c r="B14" s="7" t="s">
        <v>1014</v>
      </c>
      <c r="C14" s="8" t="s">
        <v>1015</v>
      </c>
      <c r="D14" s="8" t="s">
        <v>1016</v>
      </c>
      <c r="E14" s="8" t="s">
        <v>1017</v>
      </c>
      <c r="F14" s="8" t="s">
        <v>1018</v>
      </c>
    </row>
    <row r="15" customFormat="false" ht="25.5" hidden="false" customHeight="true" outlineLevel="0" collapsed="false">
      <c r="B15" s="7" t="s">
        <v>1019</v>
      </c>
      <c r="C15" s="8" t="s">
        <v>1020</v>
      </c>
      <c r="D15" s="8" t="s">
        <v>968</v>
      </c>
      <c r="E15" s="8" t="s">
        <v>1021</v>
      </c>
      <c r="F15" s="8" t="s">
        <v>569</v>
      </c>
    </row>
    <row r="16" customFormat="false" ht="25.5" hidden="false" customHeight="true" outlineLevel="0" collapsed="false">
      <c r="B16" s="7" t="s">
        <v>1022</v>
      </c>
      <c r="C16" s="8" t="s">
        <v>1023</v>
      </c>
      <c r="D16" s="8" t="s">
        <v>1024</v>
      </c>
      <c r="E16" s="8" t="s">
        <v>1025</v>
      </c>
      <c r="F16" s="8" t="s">
        <v>1026</v>
      </c>
    </row>
    <row r="17" customFormat="false" ht="36" hidden="false" customHeight="true" outlineLevel="0" collapsed="false">
      <c r="B17" s="7" t="s">
        <v>1027</v>
      </c>
      <c r="C17" s="8" t="s">
        <v>1028</v>
      </c>
      <c r="D17" s="8" t="s">
        <v>915</v>
      </c>
      <c r="E17" s="8" t="s">
        <v>1029</v>
      </c>
      <c r="F17" s="8" t="s">
        <v>1030</v>
      </c>
    </row>
    <row r="18" customFormat="false" ht="25.5" hidden="false" customHeight="true" outlineLevel="0" collapsed="false">
      <c r="B18" s="7" t="s">
        <v>1031</v>
      </c>
      <c r="C18" s="8" t="s">
        <v>1032</v>
      </c>
      <c r="D18" s="8" t="s">
        <v>918</v>
      </c>
      <c r="E18" s="8" t="s">
        <v>1033</v>
      </c>
      <c r="F18" s="8" t="s">
        <v>1034</v>
      </c>
    </row>
    <row r="19" customFormat="false" ht="25.5" hidden="false" customHeight="true" outlineLevel="0" collapsed="false">
      <c r="B19" s="7" t="s">
        <v>1035</v>
      </c>
      <c r="C19" s="8" t="s">
        <v>1036</v>
      </c>
      <c r="D19" s="8" t="s">
        <v>1037</v>
      </c>
      <c r="E19" s="8" t="s">
        <v>1038</v>
      </c>
      <c r="F19" s="8" t="s">
        <v>1039</v>
      </c>
    </row>
    <row r="20" customFormat="false" ht="36" hidden="false" customHeight="true" outlineLevel="0" collapsed="false">
      <c r="B20" s="7" t="s">
        <v>1040</v>
      </c>
      <c r="C20" s="8" t="s">
        <v>1041</v>
      </c>
      <c r="D20" s="8" t="s">
        <v>1042</v>
      </c>
      <c r="E20" s="8" t="s">
        <v>1043</v>
      </c>
      <c r="F20" s="8" t="s">
        <v>1044</v>
      </c>
    </row>
    <row r="21" customFormat="false" ht="25.5" hidden="false" customHeight="true" outlineLevel="0" collapsed="false">
      <c r="B21" s="7" t="s">
        <v>1045</v>
      </c>
      <c r="C21" s="8" t="s">
        <v>1046</v>
      </c>
      <c r="D21" s="8" t="s">
        <v>1047</v>
      </c>
      <c r="E21" s="8" t="s">
        <v>1048</v>
      </c>
      <c r="F21" s="8" t="s">
        <v>1049</v>
      </c>
    </row>
    <row r="22" customFormat="false" ht="36" hidden="false" customHeight="true" outlineLevel="0" collapsed="false">
      <c r="B22" s="7" t="s">
        <v>1050</v>
      </c>
      <c r="C22" s="8" t="s">
        <v>1051</v>
      </c>
      <c r="D22" s="8" t="s">
        <v>950</v>
      </c>
      <c r="E22" s="8" t="s">
        <v>1052</v>
      </c>
      <c r="F22" s="8" t="s">
        <v>1053</v>
      </c>
    </row>
    <row r="23" customFormat="false" ht="25.5" hidden="false" customHeight="true" outlineLevel="0" collapsed="false">
      <c r="B23" s="7" t="s">
        <v>1054</v>
      </c>
      <c r="C23" s="8" t="s">
        <v>1055</v>
      </c>
      <c r="D23" s="8" t="s">
        <v>954</v>
      </c>
      <c r="E23" s="8" t="s">
        <v>1056</v>
      </c>
      <c r="F23" s="8" t="s">
        <v>1057</v>
      </c>
    </row>
    <row r="24" customFormat="false" ht="36" hidden="false" customHeight="true" outlineLevel="0" collapsed="false">
      <c r="B24" s="7" t="s">
        <v>1058</v>
      </c>
      <c r="C24" s="8" t="s">
        <v>1059</v>
      </c>
      <c r="D24" s="8" t="s">
        <v>1060</v>
      </c>
      <c r="E24" s="8" t="s">
        <v>1061</v>
      </c>
      <c r="F24" s="8" t="s">
        <v>1062</v>
      </c>
    </row>
    <row r="25" customFormat="false" ht="25.5" hidden="false" customHeight="true" outlineLevel="0" collapsed="false">
      <c r="B25" s="7" t="s">
        <v>1063</v>
      </c>
      <c r="C25" s="8" t="s">
        <v>1064</v>
      </c>
      <c r="D25" s="8" t="s">
        <v>1065</v>
      </c>
      <c r="E25" s="8" t="s">
        <v>1066</v>
      </c>
      <c r="F25" s="8" t="s">
        <v>1067</v>
      </c>
    </row>
    <row r="26" customFormat="false" ht="25.5" hidden="false" customHeight="true" outlineLevel="0" collapsed="false">
      <c r="B26" s="7" t="s">
        <v>1068</v>
      </c>
      <c r="C26" s="8" t="s">
        <v>1069</v>
      </c>
      <c r="D26" s="8" t="s">
        <v>961</v>
      </c>
      <c r="E26" s="8" t="s">
        <v>1070</v>
      </c>
      <c r="F26" s="8" t="s">
        <v>1071</v>
      </c>
    </row>
    <row r="27" customFormat="false" ht="36" hidden="false" customHeight="true" outlineLevel="0" collapsed="false">
      <c r="B27" s="7" t="s">
        <v>1072</v>
      </c>
      <c r="C27" s="8" t="s">
        <v>1073</v>
      </c>
      <c r="D27" s="8" t="s">
        <v>1074</v>
      </c>
      <c r="E27" s="81" t="s">
        <v>1075</v>
      </c>
      <c r="F27" s="8" t="s">
        <v>1076</v>
      </c>
    </row>
    <row r="28" customFormat="false" ht="25.5" hidden="false" customHeight="true" outlineLevel="0" collapsed="false">
      <c r="B28" s="7" t="s">
        <v>1077</v>
      </c>
      <c r="C28" s="8" t="s">
        <v>1078</v>
      </c>
      <c r="D28" s="8" t="s">
        <v>1079</v>
      </c>
      <c r="E28" s="81" t="s">
        <v>1075</v>
      </c>
      <c r="F28" s="8" t="s">
        <v>1080</v>
      </c>
    </row>
    <row r="29" customFormat="false" ht="72" hidden="false" customHeight="true" outlineLevel="0" collapsed="false">
      <c r="B29" s="7" t="s">
        <v>1081</v>
      </c>
      <c r="C29" s="8" t="s">
        <v>362</v>
      </c>
      <c r="D29" s="8" t="s">
        <v>1082</v>
      </c>
      <c r="E29" s="8" t="s">
        <v>1083</v>
      </c>
      <c r="F29" s="8" t="s">
        <v>1084</v>
      </c>
    </row>
    <row r="30" customFormat="false" ht="60" hidden="false" customHeight="true" outlineLevel="0" collapsed="false">
      <c r="B30" s="7" t="s">
        <v>1085</v>
      </c>
      <c r="C30" s="8" t="s">
        <v>84</v>
      </c>
      <c r="D30" s="8" t="s">
        <v>1086</v>
      </c>
      <c r="E30" s="8" t="s">
        <v>1087</v>
      </c>
      <c r="F30" s="8" t="s">
        <v>1088</v>
      </c>
    </row>
    <row r="31" customFormat="false" ht="60" hidden="false" customHeight="true" outlineLevel="0" collapsed="false">
      <c r="B31" s="7" t="s">
        <v>1089</v>
      </c>
      <c r="C31" s="8" t="s">
        <v>1090</v>
      </c>
      <c r="D31" s="8" t="s">
        <v>1091</v>
      </c>
      <c r="E31" s="8" t="s">
        <v>1092</v>
      </c>
      <c r="F31" s="8" t="s">
        <v>1093</v>
      </c>
    </row>
    <row r="32" customFormat="false" ht="48" hidden="false" customHeight="true" outlineLevel="0" collapsed="false">
      <c r="B32" s="7" t="s">
        <v>1094</v>
      </c>
      <c r="C32" s="8" t="s">
        <v>1095</v>
      </c>
      <c r="D32" s="8" t="s">
        <v>1096</v>
      </c>
      <c r="E32" s="8" t="s">
        <v>1097</v>
      </c>
      <c r="F32" s="8" t="s">
        <v>1098</v>
      </c>
    </row>
    <row r="33" customFormat="false" ht="72" hidden="false" customHeight="true" outlineLevel="0" collapsed="false">
      <c r="B33" s="7" t="s">
        <v>1099</v>
      </c>
      <c r="C33" s="8" t="s">
        <v>1100</v>
      </c>
      <c r="D33" s="8" t="s">
        <v>1101</v>
      </c>
      <c r="E33" s="8" t="s">
        <v>1102</v>
      </c>
      <c r="F33" s="8" t="s">
        <v>1103</v>
      </c>
    </row>
    <row r="34" customFormat="false" ht="48" hidden="false" customHeight="true" outlineLevel="0" collapsed="false">
      <c r="B34" s="7" t="s">
        <v>1104</v>
      </c>
      <c r="C34" s="8" t="s">
        <v>1105</v>
      </c>
      <c r="D34" s="8" t="s">
        <v>1106</v>
      </c>
      <c r="E34" s="8" t="s">
        <v>1107</v>
      </c>
      <c r="F34" s="8" t="s">
        <v>1108</v>
      </c>
    </row>
    <row r="35" customFormat="false" ht="60" hidden="false" customHeight="true" outlineLevel="0" collapsed="false">
      <c r="B35" s="7" t="s">
        <v>1109</v>
      </c>
      <c r="C35" s="8" t="s">
        <v>1110</v>
      </c>
      <c r="D35" s="8" t="s">
        <v>1106</v>
      </c>
      <c r="E35" s="8" t="s">
        <v>1111</v>
      </c>
      <c r="F35" s="8" t="s">
        <v>1112</v>
      </c>
    </row>
    <row r="36" customFormat="false" ht="60" hidden="false" customHeight="true" outlineLevel="0" collapsed="false">
      <c r="B36" s="7" t="s">
        <v>1113</v>
      </c>
      <c r="C36" s="8" t="s">
        <v>1114</v>
      </c>
      <c r="D36" s="8" t="s">
        <v>1074</v>
      </c>
      <c r="E36" s="81" t="s">
        <v>1075</v>
      </c>
      <c r="F36" s="8" t="s">
        <v>1115</v>
      </c>
    </row>
    <row r="37" customFormat="false" ht="48" hidden="false" customHeight="true" outlineLevel="0" collapsed="false">
      <c r="B37" s="7" t="s">
        <v>1116</v>
      </c>
      <c r="C37" s="8" t="s">
        <v>1117</v>
      </c>
      <c r="D37" s="8" t="s">
        <v>1118</v>
      </c>
      <c r="E37" s="8" t="s">
        <v>1119</v>
      </c>
      <c r="F37" s="8" t="s">
        <v>1120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2026-07-25T12:21:43Z</dcterms:created>
  <dc:creator>openpyxl</dc:creator>
  <dc:description/>
  <dc:language>en-US</dc:language>
  <cp:lastModifiedBy/>
  <dcterms:modified xsi:type="dcterms:W3CDTF">2026-07-25T19:07:26Z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